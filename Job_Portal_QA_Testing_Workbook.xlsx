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ashboard" sheetId="2" r:id="rId2"/>
    <sheet name="Feature Matrix" sheetId="3" r:id="rId3"/>
    <sheet name="Test Cases" sheetId="4" r:id="rId4"/>
    <sheet name="Source &amp; Redirect" sheetId="5" r:id="rId5"/>
    <sheet name="Govt Job Tests" sheetId="6" r:id="rId6"/>
    <sheet name="Bug Log" sheetId="7" r:id="rId7"/>
    <sheet name="Retest &amp; Regression" sheetId="8" r:id="rId8"/>
    <sheet name="Environment &amp; Data" sheetId="9" r:id="rId9"/>
    <sheet name="List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Job Portal QA Master Workbook</v>
      </c>
    </row>
    <row r="3">
      <c r="A3" t="str">
        <v>Purpose: practical QA workbook for an aggregator-style job portal that collects job listings from external sources and may redirect candidates to company career sites, government portals or other job boards.</v>
      </c>
    </row>
    <row r="5">
      <c r="A5" t="str">
        <v>Step</v>
      </c>
      <c r="B5" t="str">
        <v>Action</v>
      </c>
      <c r="C5" t="str">
        <v>How to use this workbook</v>
      </c>
    </row>
    <row r="6">
      <c r="A6" t="str">
        <v>1</v>
      </c>
      <c r="B6" t="str">
        <v>Confirm scope</v>
      </c>
      <c r="C6" t="str">
        <v>Use Feature Matrix to mark which features really exist in X. Do not invent features; use N/A for unavailable items.</v>
      </c>
    </row>
    <row r="7">
      <c r="A7" t="str">
        <v>2</v>
      </c>
      <c r="B7" t="str">
        <v>Run tests</v>
      </c>
      <c r="C7" t="str">
        <v>Work through Test Cases. Update Status, Actual Result, Evidence/Link, Bug ID and Execution Date.</v>
      </c>
    </row>
    <row r="8">
      <c r="A8" t="str">
        <v>3</v>
      </c>
      <c r="B8" t="str">
        <v>Validate integrations</v>
      </c>
      <c r="C8" t="str">
        <v>Use Source &amp; Redirect for sampled jobs. Compare X's data with the source and verify Apply destination.</v>
      </c>
    </row>
    <row r="9">
      <c r="A9" t="str">
        <v>4</v>
      </c>
      <c r="B9" t="str">
        <v>Validate government jobs</v>
      </c>
      <c r="C9" t="str">
        <v>Use Govt Job Tests for sampled government listings: official source, dates, age, qualification, fee, vacancy, notification and official apply link.</v>
      </c>
    </row>
    <row r="10">
      <c r="A10" t="str">
        <v>5</v>
      </c>
      <c r="B10" t="str">
        <v>Log defects</v>
      </c>
      <c r="C10" t="str">
        <v>Create one record per defect in Bug Log. Include exact reproduction steps and expected vs actual behavior.</v>
      </c>
    </row>
    <row r="11">
      <c r="A11" t="str">
        <v>6</v>
      </c>
      <c r="B11" t="str">
        <v>Retest fixes</v>
      </c>
      <c r="C11" t="str">
        <v>Use Retest &amp; Regression when developers return a fix. Record retest and regression outcomes.</v>
      </c>
    </row>
    <row r="12">
      <c r="A12" t="str">
        <v>7</v>
      </c>
      <c r="B12" t="str">
        <v>Review summary</v>
      </c>
      <c r="C12" t="str">
        <v>Use Dashboard to communicate test execution and open-defect position.</v>
      </c>
    </row>
    <row r="14">
      <c r="A14" t="str">
        <v>Scope boundary</v>
      </c>
      <c r="B14" t="str">
        <v>Guidance</v>
      </c>
    </row>
    <row r="15">
      <c r="A15" t="str">
        <v>X is in scope</v>
      </c>
      <c r="B15" t="str">
        <v>Search, filters, listings, details, classification, data accuracy/freshness, saved jobs, profile, application handoff, redirects, error handling, security and non-functional checks.</v>
      </c>
    </row>
    <row r="16">
      <c r="A16" t="str">
        <v>External sites</v>
      </c>
      <c r="B16" t="str">
        <v>Verify the destination and handoff. Do not test the third-party site's entire internal functionality unless X explicitly assigns it.</v>
      </c>
    </row>
    <row r="17">
      <c r="A17" t="str">
        <v>API/feed/scraper internals</v>
      </c>
      <c r="B17" t="str">
        <v>Test directly only when endpoints, logs or a controlled environment are authorized and available.</v>
      </c>
    </row>
    <row r="18">
      <c r="A18" t="str">
        <v>Admin</v>
      </c>
      <c r="B18" t="str">
        <v>Use Admin test cases only if the admin portal is part of your assignment.</v>
      </c>
    </row>
    <row r="19">
      <c r="A19" t="str">
        <v>Secrets</v>
      </c>
      <c r="B19" t="str">
        <v>Never store real passwords, API keys, payment credentials or other secrets in this workbook.</v>
      </c>
    </row>
  </sheetData>
  <mergeCells count="2">
    <mergeCell ref="A1:H1"/>
    <mergeCell ref="A3:H3"/>
  </mergeCells>
  <pageMargins left="0.7" right="0.7" top="0.75" bottom="0.75" header="0.3" footer="0.3"/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QA Execution Dashboard</v>
      </c>
    </row>
    <row r="3">
      <c r="A3" t="str">
        <v>Metric</v>
      </c>
      <c r="B3" t="str">
        <v>Value</v>
      </c>
      <c r="D3" t="str">
        <v>Test Status</v>
      </c>
      <c r="E3" t="str">
        <v>Count</v>
      </c>
    </row>
    <row r="4">
      <c r="A4" t="str">
        <v>Total Test Cases</v>
      </c>
      <c r="B4">
        <f>COUNTA('Test Cases'!$A$5:$A$217)</f>
        <v>213</v>
      </c>
      <c r="D4" t="str">
        <v>Pass</v>
      </c>
      <c r="E4">
        <f>COUNTIF('Test Cases'!$L$5:$L$217,D4)</f>
        <v>192</v>
      </c>
    </row>
    <row r="5">
      <c r="A5" t="str">
        <v>Executed</v>
      </c>
      <c r="B5">
        <f>COUNTIF('Test Cases'!$L$5:$L$217,"&lt;&gt;Not Run")-COUNTIF('Test Cases'!$L$5:$L$217,"Not Applicable")</f>
        <v>207</v>
      </c>
      <c r="D5" t="str">
        <v>Fail</v>
      </c>
      <c r="E5">
        <f>COUNTIF('Test Cases'!$L$5:$L$217,D5)</f>
        <v>6</v>
      </c>
    </row>
    <row r="6">
      <c r="A6" t="str">
        <v>Pass</v>
      </c>
      <c r="B6">
        <f>COUNTIF('Test Cases'!$L$5:$L$217,"Pass")</f>
        <v>192</v>
      </c>
      <c r="D6" t="str">
        <v>Blocked</v>
      </c>
      <c r="E6">
        <f>COUNTIF('Test Cases'!$L$5:$L$217,D6)</f>
        <v>9</v>
      </c>
    </row>
    <row r="7">
      <c r="A7" t="str">
        <v>Fail</v>
      </c>
      <c r="B7">
        <f>COUNTIF('Test Cases'!$L$5:$L$217,"Fail")</f>
        <v>6</v>
      </c>
      <c r="D7" t="str">
        <v>Not Run</v>
      </c>
      <c r="E7">
        <f>COUNTIF('Test Cases'!$L$5:$L$217,D7)</f>
        <v>0</v>
      </c>
    </row>
    <row r="8">
      <c r="A8" t="str">
        <v>Blocked</v>
      </c>
      <c r="B8">
        <f>COUNTIF('Test Cases'!$L$5:$L$217,"Blocked")</f>
        <v>9</v>
      </c>
      <c r="D8" t="str">
        <v>Not Applicable</v>
      </c>
      <c r="E8">
        <f>COUNTIF('Test Cases'!$L$5:$L$217,D8)</f>
        <v>6</v>
      </c>
    </row>
    <row r="9">
      <c r="A9" t="str">
        <v>Not Run</v>
      </c>
      <c r="B9">
        <f>COUNTIF('Test Cases'!$L$5:$L$217,"Not Run")</f>
        <v>0</v>
      </c>
    </row>
    <row r="10">
      <c r="A10" t="str">
        <v>N/A</v>
      </c>
      <c r="B10">
        <f>COUNTIF('Test Cases'!$L$5:$L$217,"Not Applicable")</f>
        <v>6</v>
      </c>
    </row>
    <row r="11">
      <c r="A11" t="str">
        <v>Pass % of Executed</v>
      </c>
      <c r="B11">
        <f>IF(B5=0,0,B6/B5)</f>
        <v>0.927536231884058</v>
      </c>
      <c r="D11" t="str">
        <v>Open Defect Severity</v>
      </c>
      <c r="E11" t="str">
        <v>Count</v>
      </c>
    </row>
    <row r="12">
      <c r="A12" t="str">
        <v>Total Bug Slots</v>
      </c>
      <c r="B12">
        <v>100</v>
      </c>
      <c r="D12" t="str">
        <v>Critical</v>
      </c>
      <c r="E12">
        <f>COUNTIFS('Bug Log'!$E$5:$E$104,"&lt;&gt;",'Bug Log'!$K$5:$K$104,D12,'Bug Log'!$P$5:$P$104,"&lt;&gt;Closed",'Bug Log'!$P$5:$P$104,"&lt;&gt;Rejected")</f>
        <v>0</v>
      </c>
    </row>
    <row r="13">
      <c r="A13" t="str">
        <v>Logged Bugs</v>
      </c>
      <c r="B13">
        <f>COUNTIF('Bug Log'!$A$5:$A$104,"?*")</f>
        <v>10</v>
      </c>
      <c r="D13" t="str">
        <v>High</v>
      </c>
      <c r="E13">
        <f>COUNTIFS('Bug Log'!$E$5:$E$104,"&lt;&gt;",'Bug Log'!$K$5:$K$104,D13,'Bug Log'!$P$5:$P$104,"&lt;&gt;Closed",'Bug Log'!$P$5:$P$104,"&lt;&gt;Rejected")</f>
        <v>4</v>
      </c>
    </row>
    <row r="14">
      <c r="A14" t="str">
        <v>Open Bugs</v>
      </c>
      <c r="B14">
        <f>COUNTIFS('Bug Log'!$A$5:$A$104,"?*",'Bug Log'!$P$5:$P$104,"&lt;&gt;Closed",'Bug Log'!$P$5:$P$104,"&lt;&gt;Rejected")</f>
        <v>6</v>
      </c>
      <c r="D14" t="str">
        <v>Medium</v>
      </c>
      <c r="E14">
        <f>COUNTIFS('Bug Log'!$E$5:$E$104,"&lt;&gt;",'Bug Log'!$K$5:$K$104,D14,'Bug Log'!$P$5:$P$104,"&lt;&gt;Closed",'Bug Log'!$P$5:$P$104,"&lt;&gt;Rejected")</f>
        <v>1</v>
      </c>
    </row>
    <row r="15">
      <c r="A15" t="str">
        <v>Critical/High Open</v>
      </c>
      <c r="B15">
        <f>COUNTIFS('Bug Log'!$A$5:$A$104,"?*",'Bug Log'!$K$5:$K$104,"Critical",'Bug Log'!$P$5:$P$104,"&lt;&gt;Closed",'Bug Log'!$P$5:$P$104,"&lt;&gt;Rejected")+COUNTIFS('Bug Log'!$A$5:$A$104,"?*",'Bug Log'!$K$5:$K$104,"High",'Bug Log'!$P$5:$P$104,"&lt;&gt;Closed",'Bug Log'!$P$5:$P$104,"&lt;&gt;Rejected")</f>
        <v>4</v>
      </c>
      <c r="D15" t="str">
        <v>Low</v>
      </c>
      <c r="E15">
        <f>COUNTIFS('Bug Log'!$E$5:$E$104,"&lt;&gt;",'Bug Log'!$K$5:$K$104,D15,'Bug Log'!$P$5:$P$104,"&lt;&gt;Closed",'Bug Log'!$P$5:$P$104,"&lt;&gt;Rejected")</f>
        <v>1</v>
      </c>
    </row>
    <row r="18">
      <c r="A18" t="str">
        <v>Recommended reporting: send the manager/developer only the Bug IDs and key symptoms in chat; keep the workbook as the detailed source of truth.</v>
      </c>
    </row>
    <row r="19">
      <c r="A19" t="str">
        <v>When a test fails</v>
      </c>
      <c r="B19" t="str">
        <v>Update Test Cases → Status = Fail → Bug ID → Actual Result → Evidence.</v>
      </c>
    </row>
    <row r="20">
      <c r="A20" t="str">
        <v>When fixed</v>
      </c>
      <c r="B20" t="str">
        <v>Use Retest &amp; Regression → record retest and regression outcome.</v>
      </c>
    </row>
    <row r="21">
      <c r="A21" t="str">
        <v>When an external link is wrong</v>
      </c>
      <c r="B21" t="str">
        <v>Record the source URL and X Apply URL in Source &amp; Redirect, then log a defect.</v>
      </c>
    </row>
    <row r="22">
      <c r="A22" t="str">
        <v>When government data is wrong</v>
      </c>
      <c r="B22" t="str">
        <v>Record X vs official values in Govt Job Tests, then create a defect if the mismatch is attributable to X.</v>
      </c>
    </row>
  </sheetData>
  <mergeCells count="2">
    <mergeCell ref="A1:J1"/>
    <mergeCell ref="A18:B18"/>
  </mergeCells>
  <pageMargins left="0.7" right="0.7" top="0.75" bottom="0.75" header="0.3" footer="0.3"/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7"/>
  <sheetViews>
    <sheetView workbookViewId="0" rightToLeft="0"/>
  </sheetViews>
  <sheetData>
    <row r="1">
      <c r="A1" t="str">
        <v>Feature Matrix / Master QA Checklist</v>
      </c>
    </row>
    <row r="2">
      <c r="A2" t="str">
        <v>Master inventory of testable capabilities. The formulas show how many cases cover each feature and how many have been executed.</v>
      </c>
    </row>
    <row r="4">
      <c r="A4" t="str">
        <v>Feature ID</v>
      </c>
      <c r="B4" t="str">
        <v>Module</v>
      </c>
      <c r="C4" t="str">
        <v>Feature / Capability</v>
      </c>
      <c r="D4" t="str">
        <v>Primary Test Type</v>
      </c>
      <c r="E4" t="str">
        <v>Priority</v>
      </c>
      <c r="F4" t="str">
        <v>Scope</v>
      </c>
      <c r="G4" t="str">
        <v>Test Count</v>
      </c>
      <c r="H4" t="str">
        <v>Executed</v>
      </c>
      <c r="I4" t="str">
        <v>Pass</v>
      </c>
      <c r="J4" t="str">
        <v>Fail</v>
      </c>
      <c r="K4" t="str">
        <v>Blocked</v>
      </c>
      <c r="L4" t="str">
        <v>Notes</v>
      </c>
    </row>
    <row r="5">
      <c r="A5" t="str">
        <v>F-001</v>
      </c>
      <c r="B5" t="str">
        <v>Authentication</v>
      </c>
      <c r="C5" t="str">
        <v>Registration with valid data</v>
      </c>
      <c r="D5" t="str">
        <v>Smoke</v>
      </c>
      <c r="E5" t="str">
        <v>High</v>
      </c>
      <c r="F5" t="str">
        <v>Core</v>
      </c>
      <c r="G5">
        <f>COUNTIFS('Test Cases'!$B$5:$B$500,B5,'Test Cases'!$C$5:$C$500,C5)</f>
        <v>1</v>
      </c>
      <c r="H5">
        <f>COUNTIFS('Test Cases'!$B$5:$B$500,B5,'Test Cases'!$C$5:$C$500,C5,'Test Cases'!$L$5:$L$500,"&lt;&gt;Not Run")</f>
        <v>0</v>
      </c>
      <c r="I5">
        <f>COUNTIFS('Test Cases'!$B$5:$B$500,B5,'Test Cases'!$C$5:$C$500,C5,'Test Cases'!$L$5:$L$500,"Pass")</f>
        <v>0</v>
      </c>
      <c r="J5">
        <f>COUNTIFS('Test Cases'!$B$5:$B$500,B5,'Test Cases'!$C$5:$C$500,C5,'Test Cases'!$L$5:$L$500,"Fail")</f>
        <v>0</v>
      </c>
      <c r="K5">
        <f>COUNTIFS('Test Cases'!$B$5:$B$500,B5,'Test Cases'!$C$5:$C$500,C5,'Test Cases'!$L$5:$L$500,"Blocked")</f>
        <v>0</v>
      </c>
    </row>
    <row r="6">
      <c r="A6" t="str">
        <v>F-002</v>
      </c>
      <c r="B6" t="str">
        <v>Authentication</v>
      </c>
      <c r="C6" t="str">
        <v>Duplicate email registration</v>
      </c>
      <c r="D6" t="str">
        <v>Negative</v>
      </c>
      <c r="E6" t="str">
        <v>High</v>
      </c>
      <c r="F6" t="str">
        <v>Core</v>
      </c>
      <c r="G6">
        <f>COUNTIFS('Test Cases'!$B$5:$B$500,B6,'Test Cases'!$C$5:$C$500,C6)</f>
        <v>1</v>
      </c>
      <c r="H6">
        <f>COUNTIFS('Test Cases'!$B$5:$B$500,B6,'Test Cases'!$C$5:$C$500,C6,'Test Cases'!$L$5:$L$500,"&lt;&gt;Not Run")</f>
        <v>0</v>
      </c>
      <c r="I6">
        <f>COUNTIFS('Test Cases'!$B$5:$B$500,B6,'Test Cases'!$C$5:$C$500,C6,'Test Cases'!$L$5:$L$500,"Pass")</f>
        <v>0</v>
      </c>
      <c r="J6">
        <f>COUNTIFS('Test Cases'!$B$5:$B$500,B6,'Test Cases'!$C$5:$C$500,C6,'Test Cases'!$L$5:$L$500,"Fail")</f>
        <v>0</v>
      </c>
      <c r="K6">
        <f>COUNTIFS('Test Cases'!$B$5:$B$500,B6,'Test Cases'!$C$5:$C$500,C6,'Test Cases'!$L$5:$L$500,"Blocked")</f>
        <v>0</v>
      </c>
    </row>
    <row r="7">
      <c r="A7" t="str">
        <v>F-003</v>
      </c>
      <c r="B7" t="str">
        <v>Authentication</v>
      </c>
      <c r="C7" t="str">
        <v>Invalid email format</v>
      </c>
      <c r="D7" t="str">
        <v>Negative</v>
      </c>
      <c r="E7" t="str">
        <v>High</v>
      </c>
      <c r="F7" t="str">
        <v>Core</v>
      </c>
      <c r="G7">
        <f>COUNTIFS('Test Cases'!$B$5:$B$500,B7,'Test Cases'!$C$5:$C$500,C7)</f>
        <v>1</v>
      </c>
      <c r="H7">
        <f>COUNTIFS('Test Cases'!$B$5:$B$500,B7,'Test Cases'!$C$5:$C$500,C7,'Test Cases'!$L$5:$L$500,"&lt;&gt;Not Run")</f>
        <v>0</v>
      </c>
      <c r="I7">
        <f>COUNTIFS('Test Cases'!$B$5:$B$500,B7,'Test Cases'!$C$5:$C$500,C7,'Test Cases'!$L$5:$L$500,"Pass")</f>
        <v>0</v>
      </c>
      <c r="J7">
        <f>COUNTIFS('Test Cases'!$B$5:$B$500,B7,'Test Cases'!$C$5:$C$500,C7,'Test Cases'!$L$5:$L$500,"Fail")</f>
        <v>0</v>
      </c>
      <c r="K7">
        <f>COUNTIFS('Test Cases'!$B$5:$B$500,B7,'Test Cases'!$C$5:$C$500,C7,'Test Cases'!$L$5:$L$500,"Blocked")</f>
        <v>0</v>
      </c>
    </row>
    <row r="8">
      <c r="A8" t="str">
        <v>F-004</v>
      </c>
      <c r="B8" t="str">
        <v>Authentication</v>
      </c>
      <c r="C8" t="str">
        <v>Required-field validation</v>
      </c>
      <c r="D8" t="str">
        <v>Validation</v>
      </c>
      <c r="E8" t="str">
        <v>High</v>
      </c>
      <c r="F8" t="str">
        <v>Core</v>
      </c>
      <c r="G8">
        <f>COUNTIFS('Test Cases'!$B$5:$B$500,B8,'Test Cases'!$C$5:$C$500,C8)</f>
        <v>1</v>
      </c>
      <c r="H8">
        <f>COUNTIFS('Test Cases'!$B$5:$B$500,B8,'Test Cases'!$C$5:$C$500,C8,'Test Cases'!$L$5:$L$500,"&lt;&gt;Not Run")</f>
        <v>0</v>
      </c>
      <c r="I8">
        <f>COUNTIFS('Test Cases'!$B$5:$B$500,B8,'Test Cases'!$C$5:$C$500,C8,'Test Cases'!$L$5:$L$500,"Pass")</f>
        <v>0</v>
      </c>
      <c r="J8">
        <f>COUNTIFS('Test Cases'!$B$5:$B$500,B8,'Test Cases'!$C$5:$C$500,C8,'Test Cases'!$L$5:$L$500,"Fail")</f>
        <v>0</v>
      </c>
      <c r="K8">
        <f>COUNTIFS('Test Cases'!$B$5:$B$500,B8,'Test Cases'!$C$5:$C$500,C8,'Test Cases'!$L$5:$L$500,"Blocked")</f>
        <v>0</v>
      </c>
    </row>
    <row r="9">
      <c r="A9" t="str">
        <v>F-005</v>
      </c>
      <c r="B9" t="str">
        <v>Authentication</v>
      </c>
      <c r="C9" t="str">
        <v>Password policy</v>
      </c>
      <c r="D9" t="str">
        <v>Boundary</v>
      </c>
      <c r="E9" t="str">
        <v>High</v>
      </c>
      <c r="F9" t="str">
        <v>Core</v>
      </c>
      <c r="G9">
        <f>COUNTIFS('Test Cases'!$B$5:$B$500,B9,'Test Cases'!$C$5:$C$500,C9)</f>
        <v>1</v>
      </c>
      <c r="H9">
        <f>COUNTIFS('Test Cases'!$B$5:$B$500,B9,'Test Cases'!$C$5:$C$500,C9,'Test Cases'!$L$5:$L$500,"&lt;&gt;Not Run")</f>
        <v>0</v>
      </c>
      <c r="I9">
        <f>COUNTIFS('Test Cases'!$B$5:$B$500,B9,'Test Cases'!$C$5:$C$500,C9,'Test Cases'!$L$5:$L$500,"Pass")</f>
        <v>0</v>
      </c>
      <c r="J9">
        <f>COUNTIFS('Test Cases'!$B$5:$B$500,B9,'Test Cases'!$C$5:$C$500,C9,'Test Cases'!$L$5:$L$500,"Fail")</f>
        <v>0</v>
      </c>
      <c r="K9">
        <f>COUNTIFS('Test Cases'!$B$5:$B$500,B9,'Test Cases'!$C$5:$C$500,C9,'Test Cases'!$L$5:$L$500,"Blocked")</f>
        <v>0</v>
      </c>
    </row>
    <row r="10">
      <c r="A10" t="str">
        <v>F-006</v>
      </c>
      <c r="B10" t="str">
        <v>Authentication</v>
      </c>
      <c r="C10" t="str">
        <v>Confirm password mismatch</v>
      </c>
      <c r="D10" t="str">
        <v>Negative</v>
      </c>
      <c r="E10" t="str">
        <v>Medium</v>
      </c>
      <c r="F10" t="str">
        <v>Core</v>
      </c>
      <c r="G10">
        <f>COUNTIFS('Test Cases'!$B$5:$B$500,B10,'Test Cases'!$C$5:$C$500,C10)</f>
        <v>1</v>
      </c>
      <c r="H10">
        <f>COUNTIFS('Test Cases'!$B$5:$B$500,B10,'Test Cases'!$C$5:$C$500,C10,'Test Cases'!$L$5:$L$500,"&lt;&gt;Not Run")</f>
        <v>0</v>
      </c>
      <c r="I10">
        <f>COUNTIFS('Test Cases'!$B$5:$B$500,B10,'Test Cases'!$C$5:$C$500,C10,'Test Cases'!$L$5:$L$500,"Pass")</f>
        <v>0</v>
      </c>
      <c r="J10">
        <f>COUNTIFS('Test Cases'!$B$5:$B$500,B10,'Test Cases'!$C$5:$C$500,C10,'Test Cases'!$L$5:$L$500,"Fail")</f>
        <v>0</v>
      </c>
      <c r="K10">
        <f>COUNTIFS('Test Cases'!$B$5:$B$500,B10,'Test Cases'!$C$5:$C$500,C10,'Test Cases'!$L$5:$L$500,"Blocked")</f>
        <v>0</v>
      </c>
    </row>
    <row r="11">
      <c r="A11" t="str">
        <v>F-007</v>
      </c>
      <c r="B11" t="str">
        <v>Authentication</v>
      </c>
      <c r="C11" t="str">
        <v>OTP valid</v>
      </c>
      <c r="D11" t="str">
        <v>Functional</v>
      </c>
      <c r="E11" t="str">
        <v>High</v>
      </c>
      <c r="F11" t="str">
        <v>Core</v>
      </c>
      <c r="G11">
        <f>COUNTIFS('Test Cases'!$B$5:$B$500,B11,'Test Cases'!$C$5:$C$500,C11)</f>
        <v>1</v>
      </c>
      <c r="H11">
        <f>COUNTIFS('Test Cases'!$B$5:$B$500,B11,'Test Cases'!$C$5:$C$500,C11,'Test Cases'!$L$5:$L$500,"&lt;&gt;Not Run")</f>
        <v>0</v>
      </c>
      <c r="I11">
        <f>COUNTIFS('Test Cases'!$B$5:$B$500,B11,'Test Cases'!$C$5:$C$500,C11,'Test Cases'!$L$5:$L$500,"Pass")</f>
        <v>0</v>
      </c>
      <c r="J11">
        <f>COUNTIFS('Test Cases'!$B$5:$B$500,B11,'Test Cases'!$C$5:$C$500,C11,'Test Cases'!$L$5:$L$500,"Fail")</f>
        <v>0</v>
      </c>
      <c r="K11">
        <f>COUNTIFS('Test Cases'!$B$5:$B$500,B11,'Test Cases'!$C$5:$C$500,C11,'Test Cases'!$L$5:$L$500,"Blocked")</f>
        <v>0</v>
      </c>
    </row>
    <row r="12">
      <c r="A12" t="str">
        <v>F-008</v>
      </c>
      <c r="B12" t="str">
        <v>Authentication</v>
      </c>
      <c r="C12" t="str">
        <v>OTP invalid</v>
      </c>
      <c r="D12" t="str">
        <v>Negative</v>
      </c>
      <c r="E12" t="str">
        <v>High</v>
      </c>
      <c r="F12" t="str">
        <v>Core</v>
      </c>
      <c r="G12">
        <f>COUNTIFS('Test Cases'!$B$5:$B$500,B12,'Test Cases'!$C$5:$C$500,C12)</f>
        <v>1</v>
      </c>
      <c r="H12">
        <f>COUNTIFS('Test Cases'!$B$5:$B$500,B12,'Test Cases'!$C$5:$C$500,C12,'Test Cases'!$L$5:$L$500,"&lt;&gt;Not Run")</f>
        <v>0</v>
      </c>
      <c r="I12">
        <f>COUNTIFS('Test Cases'!$B$5:$B$500,B12,'Test Cases'!$C$5:$C$500,C12,'Test Cases'!$L$5:$L$500,"Pass")</f>
        <v>0</v>
      </c>
      <c r="J12">
        <f>COUNTIFS('Test Cases'!$B$5:$B$500,B12,'Test Cases'!$C$5:$C$500,C12,'Test Cases'!$L$5:$L$500,"Fail")</f>
        <v>0</v>
      </c>
      <c r="K12">
        <f>COUNTIFS('Test Cases'!$B$5:$B$500,B12,'Test Cases'!$C$5:$C$500,C12,'Test Cases'!$L$5:$L$500,"Blocked")</f>
        <v>0</v>
      </c>
    </row>
    <row r="13">
      <c r="A13" t="str">
        <v>F-009</v>
      </c>
      <c r="B13" t="str">
        <v>Authentication</v>
      </c>
      <c r="C13" t="str">
        <v>OTP expiry</v>
      </c>
      <c r="D13" t="str">
        <v>Boundary</v>
      </c>
      <c r="E13" t="str">
        <v>High</v>
      </c>
      <c r="F13" t="str">
        <v>Core</v>
      </c>
      <c r="G13">
        <f>COUNTIFS('Test Cases'!$B$5:$B$500,B13,'Test Cases'!$C$5:$C$500,C13)</f>
        <v>1</v>
      </c>
      <c r="H13">
        <f>COUNTIFS('Test Cases'!$B$5:$B$500,B13,'Test Cases'!$C$5:$C$500,C13,'Test Cases'!$L$5:$L$500,"&lt;&gt;Not Run")</f>
        <v>0</v>
      </c>
      <c r="I13">
        <f>COUNTIFS('Test Cases'!$B$5:$B$500,B13,'Test Cases'!$C$5:$C$500,C13,'Test Cases'!$L$5:$L$500,"Pass")</f>
        <v>0</v>
      </c>
      <c r="J13">
        <f>COUNTIFS('Test Cases'!$B$5:$B$500,B13,'Test Cases'!$C$5:$C$500,C13,'Test Cases'!$L$5:$L$500,"Fail")</f>
        <v>0</v>
      </c>
      <c r="K13">
        <f>COUNTIFS('Test Cases'!$B$5:$B$500,B13,'Test Cases'!$C$5:$C$500,C13,'Test Cases'!$L$5:$L$500,"Blocked")</f>
        <v>0</v>
      </c>
    </row>
    <row r="14">
      <c r="A14" t="str">
        <v>F-010</v>
      </c>
      <c r="B14" t="str">
        <v>Authentication</v>
      </c>
      <c r="C14" t="str">
        <v>OTP resend throttling</v>
      </c>
      <c r="D14" t="str">
        <v>Security</v>
      </c>
      <c r="E14" t="str">
        <v>Medium</v>
      </c>
      <c r="F14" t="str">
        <v>Core</v>
      </c>
      <c r="G14">
        <f>COUNTIFS('Test Cases'!$B$5:$B$500,B14,'Test Cases'!$C$5:$C$500,C14)</f>
        <v>1</v>
      </c>
      <c r="H14">
        <f>COUNTIFS('Test Cases'!$B$5:$B$500,B14,'Test Cases'!$C$5:$C$500,C14,'Test Cases'!$L$5:$L$500,"&lt;&gt;Not Run")</f>
        <v>0</v>
      </c>
      <c r="I14">
        <f>COUNTIFS('Test Cases'!$B$5:$B$500,B14,'Test Cases'!$C$5:$C$500,C14,'Test Cases'!$L$5:$L$500,"Pass")</f>
        <v>0</v>
      </c>
      <c r="J14">
        <f>COUNTIFS('Test Cases'!$B$5:$B$500,B14,'Test Cases'!$C$5:$C$500,C14,'Test Cases'!$L$5:$L$500,"Fail")</f>
        <v>0</v>
      </c>
      <c r="K14">
        <f>COUNTIFS('Test Cases'!$B$5:$B$500,B14,'Test Cases'!$C$5:$C$500,C14,'Test Cases'!$L$5:$L$500,"Blocked")</f>
        <v>0</v>
      </c>
    </row>
    <row r="15">
      <c r="A15" t="str">
        <v>F-011</v>
      </c>
      <c r="B15" t="str">
        <v>Authentication</v>
      </c>
      <c r="C15" t="str">
        <v>Login valid</v>
      </c>
      <c r="D15" t="str">
        <v>Smoke</v>
      </c>
      <c r="E15" t="str">
        <v>Critical</v>
      </c>
      <c r="F15" t="str">
        <v>Core</v>
      </c>
      <c r="G15">
        <f>COUNTIFS('Test Cases'!$B$5:$B$500,B15,'Test Cases'!$C$5:$C$500,C15)</f>
        <v>1</v>
      </c>
      <c r="H15">
        <f>COUNTIFS('Test Cases'!$B$5:$B$500,B15,'Test Cases'!$C$5:$C$500,C15,'Test Cases'!$L$5:$L$500,"&lt;&gt;Not Run")</f>
        <v>0</v>
      </c>
      <c r="I15">
        <f>COUNTIFS('Test Cases'!$B$5:$B$500,B15,'Test Cases'!$C$5:$C$500,C15,'Test Cases'!$L$5:$L$500,"Pass")</f>
        <v>0</v>
      </c>
      <c r="J15">
        <f>COUNTIFS('Test Cases'!$B$5:$B$500,B15,'Test Cases'!$C$5:$C$500,C15,'Test Cases'!$L$5:$L$500,"Fail")</f>
        <v>0</v>
      </c>
      <c r="K15">
        <f>COUNTIFS('Test Cases'!$B$5:$B$500,B15,'Test Cases'!$C$5:$C$500,C15,'Test Cases'!$L$5:$L$500,"Blocked")</f>
        <v>0</v>
      </c>
    </row>
    <row r="16">
      <c r="A16" t="str">
        <v>F-012</v>
      </c>
      <c r="B16" t="str">
        <v>Authentication</v>
      </c>
      <c r="C16" t="str">
        <v>Login wrong password</v>
      </c>
      <c r="D16" t="str">
        <v>Negative</v>
      </c>
      <c r="E16" t="str">
        <v>High</v>
      </c>
      <c r="F16" t="str">
        <v>Core</v>
      </c>
      <c r="G16">
        <f>COUNTIFS('Test Cases'!$B$5:$B$500,B16,'Test Cases'!$C$5:$C$500,C16)</f>
        <v>1</v>
      </c>
      <c r="H16">
        <f>COUNTIFS('Test Cases'!$B$5:$B$500,B16,'Test Cases'!$C$5:$C$500,C16,'Test Cases'!$L$5:$L$500,"&lt;&gt;Not Run")</f>
        <v>0</v>
      </c>
      <c r="I16">
        <f>COUNTIFS('Test Cases'!$B$5:$B$500,B16,'Test Cases'!$C$5:$C$500,C16,'Test Cases'!$L$5:$L$500,"Pass")</f>
        <v>0</v>
      </c>
      <c r="J16">
        <f>COUNTIFS('Test Cases'!$B$5:$B$500,B16,'Test Cases'!$C$5:$C$500,C16,'Test Cases'!$L$5:$L$500,"Fail")</f>
        <v>0</v>
      </c>
      <c r="K16">
        <f>COUNTIFS('Test Cases'!$B$5:$B$500,B16,'Test Cases'!$C$5:$C$500,C16,'Test Cases'!$L$5:$L$500,"Blocked")</f>
        <v>0</v>
      </c>
    </row>
    <row r="17">
      <c r="A17" t="str">
        <v>F-013</v>
      </c>
      <c r="B17" t="str">
        <v>Authentication</v>
      </c>
      <c r="C17" t="str">
        <v>Login unknown account</v>
      </c>
      <c r="D17" t="str">
        <v>Negative</v>
      </c>
      <c r="E17" t="str">
        <v>Medium</v>
      </c>
      <c r="F17" t="str">
        <v>Core</v>
      </c>
      <c r="G17">
        <f>COUNTIFS('Test Cases'!$B$5:$B$500,B17,'Test Cases'!$C$5:$C$500,C17)</f>
        <v>1</v>
      </c>
      <c r="H17">
        <f>COUNTIFS('Test Cases'!$B$5:$B$500,B17,'Test Cases'!$C$5:$C$500,C17,'Test Cases'!$L$5:$L$500,"&lt;&gt;Not Run")</f>
        <v>0</v>
      </c>
      <c r="I17">
        <f>COUNTIFS('Test Cases'!$B$5:$B$500,B17,'Test Cases'!$C$5:$C$500,C17,'Test Cases'!$L$5:$L$500,"Pass")</f>
        <v>0</v>
      </c>
      <c r="J17">
        <f>COUNTIFS('Test Cases'!$B$5:$B$500,B17,'Test Cases'!$C$5:$C$500,C17,'Test Cases'!$L$5:$L$500,"Fail")</f>
        <v>0</v>
      </c>
      <c r="K17">
        <f>COUNTIFS('Test Cases'!$B$5:$B$500,B17,'Test Cases'!$C$5:$C$500,C17,'Test Cases'!$L$5:$L$500,"Blocked")</f>
        <v>0</v>
      </c>
    </row>
    <row r="18">
      <c r="A18" t="str">
        <v>F-014</v>
      </c>
      <c r="B18" t="str">
        <v>Authentication</v>
      </c>
      <c r="C18" t="str">
        <v>Login blank fields</v>
      </c>
      <c r="D18" t="str">
        <v>Validation</v>
      </c>
      <c r="E18" t="str">
        <v>High</v>
      </c>
      <c r="F18" t="str">
        <v>Core</v>
      </c>
      <c r="G18">
        <f>COUNTIFS('Test Cases'!$B$5:$B$500,B18,'Test Cases'!$C$5:$C$500,C18)</f>
        <v>1</v>
      </c>
      <c r="H18">
        <f>COUNTIFS('Test Cases'!$B$5:$B$500,B18,'Test Cases'!$C$5:$C$500,C18,'Test Cases'!$L$5:$L$500,"&lt;&gt;Not Run")</f>
        <v>0</v>
      </c>
      <c r="I18">
        <f>COUNTIFS('Test Cases'!$B$5:$B$500,B18,'Test Cases'!$C$5:$C$500,C18,'Test Cases'!$L$5:$L$500,"Pass")</f>
        <v>0</v>
      </c>
      <c r="J18">
        <f>COUNTIFS('Test Cases'!$B$5:$B$500,B18,'Test Cases'!$C$5:$C$500,C18,'Test Cases'!$L$5:$L$500,"Fail")</f>
        <v>0</v>
      </c>
      <c r="K18">
        <f>COUNTIFS('Test Cases'!$B$5:$B$500,B18,'Test Cases'!$C$5:$C$500,C18,'Test Cases'!$L$5:$L$500,"Blocked")</f>
        <v>0</v>
      </c>
    </row>
    <row r="19">
      <c r="A19" t="str">
        <v>F-015</v>
      </c>
      <c r="B19" t="str">
        <v>Authentication</v>
      </c>
      <c r="C19" t="str">
        <v>Logout</v>
      </c>
      <c r="D19" t="str">
        <v>Smoke</v>
      </c>
      <c r="E19" t="str">
        <v>High</v>
      </c>
      <c r="F19" t="str">
        <v>Core</v>
      </c>
      <c r="G19">
        <f>COUNTIFS('Test Cases'!$B$5:$B$500,B19,'Test Cases'!$C$5:$C$500,C19)</f>
        <v>1</v>
      </c>
      <c r="H19">
        <f>COUNTIFS('Test Cases'!$B$5:$B$500,B19,'Test Cases'!$C$5:$C$500,C19,'Test Cases'!$L$5:$L$500,"&lt;&gt;Not Run")</f>
        <v>0</v>
      </c>
      <c r="I19">
        <f>COUNTIFS('Test Cases'!$B$5:$B$500,B19,'Test Cases'!$C$5:$C$500,C19,'Test Cases'!$L$5:$L$500,"Pass")</f>
        <v>0</v>
      </c>
      <c r="J19">
        <f>COUNTIFS('Test Cases'!$B$5:$B$500,B19,'Test Cases'!$C$5:$C$500,C19,'Test Cases'!$L$5:$L$500,"Fail")</f>
        <v>0</v>
      </c>
      <c r="K19">
        <f>COUNTIFS('Test Cases'!$B$5:$B$500,B19,'Test Cases'!$C$5:$C$500,C19,'Test Cases'!$L$5:$L$500,"Blocked")</f>
        <v>0</v>
      </c>
    </row>
    <row r="20">
      <c r="A20" t="str">
        <v>F-016</v>
      </c>
      <c r="B20" t="str">
        <v>Authentication</v>
      </c>
      <c r="C20" t="str">
        <v>Back button after logout</v>
      </c>
      <c r="D20" t="str">
        <v>Security</v>
      </c>
      <c r="E20" t="str">
        <v>High</v>
      </c>
      <c r="F20" t="str">
        <v>Core</v>
      </c>
      <c r="G20">
        <f>COUNTIFS('Test Cases'!$B$5:$B$500,B20,'Test Cases'!$C$5:$C$500,C20)</f>
        <v>1</v>
      </c>
      <c r="H20">
        <f>COUNTIFS('Test Cases'!$B$5:$B$500,B20,'Test Cases'!$C$5:$C$500,C20,'Test Cases'!$L$5:$L$500,"&lt;&gt;Not Run")</f>
        <v>0</v>
      </c>
      <c r="I20">
        <f>COUNTIFS('Test Cases'!$B$5:$B$500,B20,'Test Cases'!$C$5:$C$500,C20,'Test Cases'!$L$5:$L$500,"Pass")</f>
        <v>0</v>
      </c>
      <c r="J20">
        <f>COUNTIFS('Test Cases'!$B$5:$B$500,B20,'Test Cases'!$C$5:$C$500,C20,'Test Cases'!$L$5:$L$500,"Fail")</f>
        <v>0</v>
      </c>
      <c r="K20">
        <f>COUNTIFS('Test Cases'!$B$5:$B$500,B20,'Test Cases'!$C$5:$C$500,C20,'Test Cases'!$L$5:$L$500,"Blocked")</f>
        <v>0</v>
      </c>
    </row>
    <row r="21">
      <c r="A21" t="str">
        <v>F-017</v>
      </c>
      <c r="B21" t="str">
        <v>Authentication</v>
      </c>
      <c r="C21" t="str">
        <v>Session timeout</v>
      </c>
      <c r="D21" t="str">
        <v>Security</v>
      </c>
      <c r="E21" t="str">
        <v>High</v>
      </c>
      <c r="F21" t="str">
        <v>Core</v>
      </c>
      <c r="G21">
        <f>COUNTIFS('Test Cases'!$B$5:$B$500,B21,'Test Cases'!$C$5:$C$500,C21)</f>
        <v>1</v>
      </c>
      <c r="H21">
        <f>COUNTIFS('Test Cases'!$B$5:$B$500,B21,'Test Cases'!$C$5:$C$500,C21,'Test Cases'!$L$5:$L$500,"&lt;&gt;Not Run")</f>
        <v>0</v>
      </c>
      <c r="I21">
        <f>COUNTIFS('Test Cases'!$B$5:$B$500,B21,'Test Cases'!$C$5:$C$500,C21,'Test Cases'!$L$5:$L$500,"Pass")</f>
        <v>0</v>
      </c>
      <c r="J21">
        <f>COUNTIFS('Test Cases'!$B$5:$B$500,B21,'Test Cases'!$C$5:$C$500,C21,'Test Cases'!$L$5:$L$500,"Fail")</f>
        <v>0</v>
      </c>
      <c r="K21">
        <f>COUNTIFS('Test Cases'!$B$5:$B$500,B21,'Test Cases'!$C$5:$C$500,C21,'Test Cases'!$L$5:$L$500,"Blocked")</f>
        <v>0</v>
      </c>
    </row>
    <row r="22">
      <c r="A22" t="str">
        <v>F-018</v>
      </c>
      <c r="B22" t="str">
        <v>Authentication</v>
      </c>
      <c r="C22" t="str">
        <v>Concurrent session behavior</v>
      </c>
      <c r="D22" t="str">
        <v>Security</v>
      </c>
      <c r="E22" t="str">
        <v>Medium</v>
      </c>
      <c r="F22" t="str">
        <v>Core</v>
      </c>
      <c r="G22">
        <f>COUNTIFS('Test Cases'!$B$5:$B$500,B22,'Test Cases'!$C$5:$C$500,C22)</f>
        <v>1</v>
      </c>
      <c r="H22">
        <f>COUNTIFS('Test Cases'!$B$5:$B$500,B22,'Test Cases'!$C$5:$C$500,C22,'Test Cases'!$L$5:$L$500,"&lt;&gt;Not Run")</f>
        <v>0</v>
      </c>
      <c r="I22">
        <f>COUNTIFS('Test Cases'!$B$5:$B$500,B22,'Test Cases'!$C$5:$C$500,C22,'Test Cases'!$L$5:$L$500,"Pass")</f>
        <v>0</v>
      </c>
      <c r="J22">
        <f>COUNTIFS('Test Cases'!$B$5:$B$500,B22,'Test Cases'!$C$5:$C$500,C22,'Test Cases'!$L$5:$L$500,"Fail")</f>
        <v>0</v>
      </c>
      <c r="K22">
        <f>COUNTIFS('Test Cases'!$B$5:$B$500,B22,'Test Cases'!$C$5:$C$500,C22,'Test Cases'!$L$5:$L$500,"Blocked")</f>
        <v>0</v>
      </c>
    </row>
    <row r="23">
      <c r="A23" t="str">
        <v>F-019</v>
      </c>
      <c r="B23" t="str">
        <v>Authentication</v>
      </c>
      <c r="C23" t="str">
        <v>Forgot password valid</v>
      </c>
      <c r="D23" t="str">
        <v>Functional</v>
      </c>
      <c r="E23" t="str">
        <v>High</v>
      </c>
      <c r="F23" t="str">
        <v>Core</v>
      </c>
      <c r="G23">
        <f>COUNTIFS('Test Cases'!$B$5:$B$500,B23,'Test Cases'!$C$5:$C$500,C23)</f>
        <v>1</v>
      </c>
      <c r="H23">
        <f>COUNTIFS('Test Cases'!$B$5:$B$500,B23,'Test Cases'!$C$5:$C$500,C23,'Test Cases'!$L$5:$L$500,"&lt;&gt;Not Run")</f>
        <v>0</v>
      </c>
      <c r="I23">
        <f>COUNTIFS('Test Cases'!$B$5:$B$500,B23,'Test Cases'!$C$5:$C$500,C23,'Test Cases'!$L$5:$L$500,"Pass")</f>
        <v>0</v>
      </c>
      <c r="J23">
        <f>COUNTIFS('Test Cases'!$B$5:$B$500,B23,'Test Cases'!$C$5:$C$500,C23,'Test Cases'!$L$5:$L$500,"Fail")</f>
        <v>0</v>
      </c>
      <c r="K23">
        <f>COUNTIFS('Test Cases'!$B$5:$B$500,B23,'Test Cases'!$C$5:$C$500,C23,'Test Cases'!$L$5:$L$500,"Blocked")</f>
        <v>0</v>
      </c>
    </row>
    <row r="24">
      <c r="A24" t="str">
        <v>F-020</v>
      </c>
      <c r="B24" t="str">
        <v>Authentication</v>
      </c>
      <c r="C24" t="str">
        <v>Forgot password expired link</v>
      </c>
      <c r="D24" t="str">
        <v>Negative</v>
      </c>
      <c r="E24" t="str">
        <v>High</v>
      </c>
      <c r="F24" t="str">
        <v>Core</v>
      </c>
      <c r="G24">
        <f>COUNTIFS('Test Cases'!$B$5:$B$500,B24,'Test Cases'!$C$5:$C$500,C24)</f>
        <v>1</v>
      </c>
      <c r="H24">
        <f>COUNTIFS('Test Cases'!$B$5:$B$500,B24,'Test Cases'!$C$5:$C$500,C24,'Test Cases'!$L$5:$L$500,"&lt;&gt;Not Run")</f>
        <v>0</v>
      </c>
      <c r="I24">
        <f>COUNTIFS('Test Cases'!$B$5:$B$500,B24,'Test Cases'!$C$5:$C$500,C24,'Test Cases'!$L$5:$L$500,"Pass")</f>
        <v>0</v>
      </c>
      <c r="J24">
        <f>COUNTIFS('Test Cases'!$B$5:$B$500,B24,'Test Cases'!$C$5:$C$500,C24,'Test Cases'!$L$5:$L$500,"Fail")</f>
        <v>0</v>
      </c>
      <c r="K24">
        <f>COUNTIFS('Test Cases'!$B$5:$B$500,B24,'Test Cases'!$C$5:$C$500,C24,'Test Cases'!$L$5:$L$500,"Blocked")</f>
        <v>0</v>
      </c>
    </row>
    <row r="25">
      <c r="A25" t="str">
        <v>F-021</v>
      </c>
      <c r="B25" t="str">
        <v>Authentication</v>
      </c>
      <c r="C25" t="str">
        <v>Password reset invalid token</v>
      </c>
      <c r="D25" t="str">
        <v>Security</v>
      </c>
      <c r="E25" t="str">
        <v>High</v>
      </c>
      <c r="F25" t="str">
        <v>Core</v>
      </c>
      <c r="G25">
        <f>COUNTIFS('Test Cases'!$B$5:$B$500,B25,'Test Cases'!$C$5:$C$500,C25)</f>
        <v>1</v>
      </c>
      <c r="H25">
        <f>COUNTIFS('Test Cases'!$B$5:$B$500,B25,'Test Cases'!$C$5:$C$500,C25,'Test Cases'!$L$5:$L$500,"&lt;&gt;Not Run")</f>
        <v>0</v>
      </c>
      <c r="I25">
        <f>COUNTIFS('Test Cases'!$B$5:$B$500,B25,'Test Cases'!$C$5:$C$500,C25,'Test Cases'!$L$5:$L$500,"Pass")</f>
        <v>0</v>
      </c>
      <c r="J25">
        <f>COUNTIFS('Test Cases'!$B$5:$B$500,B25,'Test Cases'!$C$5:$C$500,C25,'Test Cases'!$L$5:$L$500,"Fail")</f>
        <v>0</v>
      </c>
      <c r="K25">
        <f>COUNTIFS('Test Cases'!$B$5:$B$500,B25,'Test Cases'!$C$5:$C$500,C25,'Test Cases'!$L$5:$L$500,"Blocked")</f>
        <v>0</v>
      </c>
    </row>
    <row r="26">
      <c r="A26" t="str">
        <v>F-022</v>
      </c>
      <c r="B26" t="str">
        <v>Authentication</v>
      </c>
      <c r="C26" t="str">
        <v>Password change invalid current password</v>
      </c>
      <c r="D26" t="str">
        <v>Negative</v>
      </c>
      <c r="E26" t="str">
        <v>High</v>
      </c>
      <c r="F26" t="str">
        <v>Core</v>
      </c>
      <c r="G26">
        <f>COUNTIFS('Test Cases'!$B$5:$B$500,B26,'Test Cases'!$C$5:$C$500,C26)</f>
        <v>1</v>
      </c>
      <c r="H26">
        <f>COUNTIFS('Test Cases'!$B$5:$B$500,B26,'Test Cases'!$C$5:$C$500,C26,'Test Cases'!$L$5:$L$500,"&lt;&gt;Not Run")</f>
        <v>0</v>
      </c>
      <c r="I26">
        <f>COUNTIFS('Test Cases'!$B$5:$B$500,B26,'Test Cases'!$C$5:$C$500,C26,'Test Cases'!$L$5:$L$500,"Pass")</f>
        <v>0</v>
      </c>
      <c r="J26">
        <f>COUNTIFS('Test Cases'!$B$5:$B$500,B26,'Test Cases'!$C$5:$C$500,C26,'Test Cases'!$L$5:$L$500,"Fail")</f>
        <v>0</v>
      </c>
      <c r="K26">
        <f>COUNTIFS('Test Cases'!$B$5:$B$500,B26,'Test Cases'!$C$5:$C$500,C26,'Test Cases'!$L$5:$L$500,"Blocked")</f>
        <v>0</v>
      </c>
    </row>
    <row r="27">
      <c r="A27" t="str">
        <v>F-023</v>
      </c>
      <c r="B27" t="str">
        <v>Authentication</v>
      </c>
      <c r="C27" t="str">
        <v>Password visibility control</v>
      </c>
      <c r="D27" t="str">
        <v>UI/UX</v>
      </c>
      <c r="E27" t="str">
        <v>Low</v>
      </c>
      <c r="F27" t="str">
        <v>Core</v>
      </c>
      <c r="G27">
        <f>COUNTIFS('Test Cases'!$B$5:$B$500,B27,'Test Cases'!$C$5:$C$500,C27)</f>
        <v>1</v>
      </c>
      <c r="H27">
        <f>COUNTIFS('Test Cases'!$B$5:$B$500,B27,'Test Cases'!$C$5:$C$500,C27,'Test Cases'!$L$5:$L$500,"&lt;&gt;Not Run")</f>
        <v>0</v>
      </c>
      <c r="I27">
        <f>COUNTIFS('Test Cases'!$B$5:$B$500,B27,'Test Cases'!$C$5:$C$500,C27,'Test Cases'!$L$5:$L$500,"Pass")</f>
        <v>0</v>
      </c>
      <c r="J27">
        <f>COUNTIFS('Test Cases'!$B$5:$B$500,B27,'Test Cases'!$C$5:$C$500,C27,'Test Cases'!$L$5:$L$500,"Fail")</f>
        <v>0</v>
      </c>
      <c r="K27">
        <f>COUNTIFS('Test Cases'!$B$5:$B$500,B27,'Test Cases'!$C$5:$C$500,C27,'Test Cases'!$L$5:$L$500,"Blocked")</f>
        <v>0</v>
      </c>
    </row>
    <row r="28">
      <c r="A28" t="str">
        <v>F-024</v>
      </c>
      <c r="B28" t="str">
        <v>Authentication</v>
      </c>
      <c r="C28" t="str">
        <v>XSS in registration fields</v>
      </c>
      <c r="D28" t="str">
        <v>Security</v>
      </c>
      <c r="E28" t="str">
        <v>Critical</v>
      </c>
      <c r="F28" t="str">
        <v>Core</v>
      </c>
      <c r="G28">
        <f>COUNTIFS('Test Cases'!$B$5:$B$500,B28,'Test Cases'!$C$5:$C$500,C28)</f>
        <v>1</v>
      </c>
      <c r="H28">
        <f>COUNTIFS('Test Cases'!$B$5:$B$500,B28,'Test Cases'!$C$5:$C$500,C28,'Test Cases'!$L$5:$L$500,"&lt;&gt;Not Run")</f>
        <v>0</v>
      </c>
      <c r="I28">
        <f>COUNTIFS('Test Cases'!$B$5:$B$500,B28,'Test Cases'!$C$5:$C$500,C28,'Test Cases'!$L$5:$L$500,"Pass")</f>
        <v>0</v>
      </c>
      <c r="J28">
        <f>COUNTIFS('Test Cases'!$B$5:$B$500,B28,'Test Cases'!$C$5:$C$500,C28,'Test Cases'!$L$5:$L$500,"Fail")</f>
        <v>0</v>
      </c>
      <c r="K28">
        <f>COUNTIFS('Test Cases'!$B$5:$B$500,B28,'Test Cases'!$C$5:$C$500,C28,'Test Cases'!$L$5:$L$500,"Blocked")</f>
        <v>0</v>
      </c>
    </row>
    <row r="29">
      <c r="A29" t="str">
        <v>F-025</v>
      </c>
      <c r="B29" t="str">
        <v>Authentication</v>
      </c>
      <c r="C29" t="str">
        <v>SQL injection-style login input</v>
      </c>
      <c r="D29" t="str">
        <v>Security</v>
      </c>
      <c r="E29" t="str">
        <v>Critical</v>
      </c>
      <c r="F29" t="str">
        <v>Core</v>
      </c>
      <c r="G29">
        <f>COUNTIFS('Test Cases'!$B$5:$B$500,B29,'Test Cases'!$C$5:$C$500,C29)</f>
        <v>1</v>
      </c>
      <c r="H29">
        <f>COUNTIFS('Test Cases'!$B$5:$B$500,B29,'Test Cases'!$C$5:$C$500,C29,'Test Cases'!$L$5:$L$500,"&lt;&gt;Not Run")</f>
        <v>0</v>
      </c>
      <c r="I29">
        <f>COUNTIFS('Test Cases'!$B$5:$B$500,B29,'Test Cases'!$C$5:$C$500,C29,'Test Cases'!$L$5:$L$500,"Pass")</f>
        <v>0</v>
      </c>
      <c r="J29">
        <f>COUNTIFS('Test Cases'!$B$5:$B$500,B29,'Test Cases'!$C$5:$C$500,C29,'Test Cases'!$L$5:$L$500,"Fail")</f>
        <v>0</v>
      </c>
      <c r="K29">
        <f>COUNTIFS('Test Cases'!$B$5:$B$500,B29,'Test Cases'!$C$5:$C$500,C29,'Test Cases'!$L$5:$L$500,"Blocked")</f>
        <v>0</v>
      </c>
    </row>
    <row r="30">
      <c r="A30" t="str">
        <v>F-026</v>
      </c>
      <c r="B30" t="str">
        <v>Profile &amp; Resume</v>
      </c>
      <c r="C30" t="str">
        <v>Create profile</v>
      </c>
      <c r="D30" t="str">
        <v>Smoke</v>
      </c>
      <c r="E30" t="str">
        <v>High</v>
      </c>
      <c r="F30" t="str">
        <v>Core</v>
      </c>
      <c r="G30">
        <f>COUNTIFS('Test Cases'!$B$5:$B$500,B30,'Test Cases'!$C$5:$C$500,C30)</f>
        <v>1</v>
      </c>
      <c r="H30">
        <f>COUNTIFS('Test Cases'!$B$5:$B$500,B30,'Test Cases'!$C$5:$C$500,C30,'Test Cases'!$L$5:$L$500,"&lt;&gt;Not Run")</f>
        <v>0</v>
      </c>
      <c r="I30">
        <f>COUNTIFS('Test Cases'!$B$5:$B$500,B30,'Test Cases'!$C$5:$C$500,C30,'Test Cases'!$L$5:$L$500,"Pass")</f>
        <v>0</v>
      </c>
      <c r="J30">
        <f>COUNTIFS('Test Cases'!$B$5:$B$500,B30,'Test Cases'!$C$5:$C$500,C30,'Test Cases'!$L$5:$L$500,"Fail")</f>
        <v>0</v>
      </c>
      <c r="K30">
        <f>COUNTIFS('Test Cases'!$B$5:$B$500,B30,'Test Cases'!$C$5:$C$500,C30,'Test Cases'!$L$5:$L$500,"Blocked")</f>
        <v>0</v>
      </c>
    </row>
    <row r="31">
      <c r="A31" t="str">
        <v>F-027</v>
      </c>
      <c r="B31" t="str">
        <v>Profile &amp; Resume</v>
      </c>
      <c r="C31" t="str">
        <v>Edit profile</v>
      </c>
      <c r="D31" t="str">
        <v>Functional</v>
      </c>
      <c r="E31" t="str">
        <v>High</v>
      </c>
      <c r="F31" t="str">
        <v>Core</v>
      </c>
      <c r="G31">
        <f>COUNTIFS('Test Cases'!$B$5:$B$500,B31,'Test Cases'!$C$5:$C$500,C31)</f>
        <v>1</v>
      </c>
      <c r="H31">
        <f>COUNTIFS('Test Cases'!$B$5:$B$500,B31,'Test Cases'!$C$5:$C$500,C31,'Test Cases'!$L$5:$L$500,"&lt;&gt;Not Run")</f>
        <v>0</v>
      </c>
      <c r="I31">
        <f>COUNTIFS('Test Cases'!$B$5:$B$500,B31,'Test Cases'!$C$5:$C$500,C31,'Test Cases'!$L$5:$L$500,"Pass")</f>
        <v>0</v>
      </c>
      <c r="J31">
        <f>COUNTIFS('Test Cases'!$B$5:$B$500,B31,'Test Cases'!$C$5:$C$500,C31,'Test Cases'!$L$5:$L$500,"Fail")</f>
        <v>0</v>
      </c>
      <c r="K31">
        <f>COUNTIFS('Test Cases'!$B$5:$B$500,B31,'Test Cases'!$C$5:$C$500,C31,'Test Cases'!$L$5:$L$500,"Blocked")</f>
        <v>0</v>
      </c>
    </row>
    <row r="32">
      <c r="A32" t="str">
        <v>F-028</v>
      </c>
      <c r="B32" t="str">
        <v>Profile &amp; Resume</v>
      </c>
      <c r="C32" t="str">
        <v>Required profile fields</v>
      </c>
      <c r="D32" t="str">
        <v>Validation</v>
      </c>
      <c r="E32" t="str">
        <v>Medium</v>
      </c>
      <c r="F32" t="str">
        <v>Core</v>
      </c>
      <c r="G32">
        <f>COUNTIFS('Test Cases'!$B$5:$B$500,B32,'Test Cases'!$C$5:$C$500,C32)</f>
        <v>1</v>
      </c>
      <c r="H32">
        <f>COUNTIFS('Test Cases'!$B$5:$B$500,B32,'Test Cases'!$C$5:$C$500,C32,'Test Cases'!$L$5:$L$500,"&lt;&gt;Not Run")</f>
        <v>0</v>
      </c>
      <c r="I32">
        <f>COUNTIFS('Test Cases'!$B$5:$B$500,B32,'Test Cases'!$C$5:$C$500,C32,'Test Cases'!$L$5:$L$500,"Pass")</f>
        <v>0</v>
      </c>
      <c r="J32">
        <f>COUNTIFS('Test Cases'!$B$5:$B$500,B32,'Test Cases'!$C$5:$C$500,C32,'Test Cases'!$L$5:$L$500,"Fail")</f>
        <v>0</v>
      </c>
      <c r="K32">
        <f>COUNTIFS('Test Cases'!$B$5:$B$500,B32,'Test Cases'!$C$5:$C$500,C32,'Test Cases'!$L$5:$L$500,"Blocked")</f>
        <v>0</v>
      </c>
    </row>
    <row r="33">
      <c r="A33" t="str">
        <v>F-029</v>
      </c>
      <c r="B33" t="str">
        <v>Profile &amp; Resume</v>
      </c>
      <c r="C33" t="str">
        <v>Resume upload valid PDF</v>
      </c>
      <c r="D33" t="str">
        <v>Functional</v>
      </c>
      <c r="E33" t="str">
        <v>High</v>
      </c>
      <c r="F33" t="str">
        <v>Core</v>
      </c>
      <c r="G33">
        <f>COUNTIFS('Test Cases'!$B$5:$B$500,B33,'Test Cases'!$C$5:$C$500,C33)</f>
        <v>1</v>
      </c>
      <c r="H33">
        <f>COUNTIFS('Test Cases'!$B$5:$B$500,B33,'Test Cases'!$C$5:$C$500,C33,'Test Cases'!$L$5:$L$500,"&lt;&gt;Not Run")</f>
        <v>0</v>
      </c>
      <c r="I33">
        <f>COUNTIFS('Test Cases'!$B$5:$B$500,B33,'Test Cases'!$C$5:$C$500,C33,'Test Cases'!$L$5:$L$500,"Pass")</f>
        <v>0</v>
      </c>
      <c r="J33">
        <f>COUNTIFS('Test Cases'!$B$5:$B$500,B33,'Test Cases'!$C$5:$C$500,C33,'Test Cases'!$L$5:$L$500,"Fail")</f>
        <v>0</v>
      </c>
      <c r="K33">
        <f>COUNTIFS('Test Cases'!$B$5:$B$500,B33,'Test Cases'!$C$5:$C$500,C33,'Test Cases'!$L$5:$L$500,"Blocked")</f>
        <v>0</v>
      </c>
    </row>
    <row r="34">
      <c r="A34" t="str">
        <v>F-030</v>
      </c>
      <c r="B34" t="str">
        <v>Profile &amp; Resume</v>
      </c>
      <c r="C34" t="str">
        <v>Resume upload DOCX if supported</v>
      </c>
      <c r="D34" t="str">
        <v>Functional</v>
      </c>
      <c r="E34" t="str">
        <v>Medium</v>
      </c>
      <c r="F34" t="str">
        <v>Core</v>
      </c>
      <c r="G34">
        <f>COUNTIFS('Test Cases'!$B$5:$B$500,B34,'Test Cases'!$C$5:$C$500,C34)</f>
        <v>1</v>
      </c>
      <c r="H34">
        <f>COUNTIFS('Test Cases'!$B$5:$B$500,B34,'Test Cases'!$C$5:$C$500,C34,'Test Cases'!$L$5:$L$500,"&lt;&gt;Not Run")</f>
        <v>0</v>
      </c>
      <c r="I34">
        <f>COUNTIFS('Test Cases'!$B$5:$B$500,B34,'Test Cases'!$C$5:$C$500,C34,'Test Cases'!$L$5:$L$500,"Pass")</f>
        <v>0</v>
      </c>
      <c r="J34">
        <f>COUNTIFS('Test Cases'!$B$5:$B$500,B34,'Test Cases'!$C$5:$C$500,C34,'Test Cases'!$L$5:$L$500,"Fail")</f>
        <v>0</v>
      </c>
      <c r="K34">
        <f>COUNTIFS('Test Cases'!$B$5:$B$500,B34,'Test Cases'!$C$5:$C$500,C34,'Test Cases'!$L$5:$L$500,"Blocked")</f>
        <v>0</v>
      </c>
    </row>
    <row r="35">
      <c r="A35" t="str">
        <v>F-031</v>
      </c>
      <c r="B35" t="str">
        <v>Profile &amp; Resume</v>
      </c>
      <c r="C35" t="str">
        <v>Unsupported resume type</v>
      </c>
      <c r="D35" t="str">
        <v>Negative</v>
      </c>
      <c r="E35" t="str">
        <v>High</v>
      </c>
      <c r="F35" t="str">
        <v>Core</v>
      </c>
      <c r="G35">
        <f>COUNTIFS('Test Cases'!$B$5:$B$500,B35,'Test Cases'!$C$5:$C$500,C35)</f>
        <v>1</v>
      </c>
      <c r="H35">
        <f>COUNTIFS('Test Cases'!$B$5:$B$500,B35,'Test Cases'!$C$5:$C$500,C35,'Test Cases'!$L$5:$L$500,"&lt;&gt;Not Run")</f>
        <v>0</v>
      </c>
      <c r="I35">
        <f>COUNTIFS('Test Cases'!$B$5:$B$500,B35,'Test Cases'!$C$5:$C$500,C35,'Test Cases'!$L$5:$L$500,"Pass")</f>
        <v>0</v>
      </c>
      <c r="J35">
        <f>COUNTIFS('Test Cases'!$B$5:$B$500,B35,'Test Cases'!$C$5:$C$500,C35,'Test Cases'!$L$5:$L$500,"Fail")</f>
        <v>0</v>
      </c>
      <c r="K35">
        <f>COUNTIFS('Test Cases'!$B$5:$B$500,B35,'Test Cases'!$C$5:$C$500,C35,'Test Cases'!$L$5:$L$500,"Blocked")</f>
        <v>0</v>
      </c>
    </row>
    <row r="36">
      <c r="A36" t="str">
        <v>F-032</v>
      </c>
      <c r="B36" t="str">
        <v>Profile &amp; Resume</v>
      </c>
      <c r="C36" t="str">
        <v>Oversized resume</v>
      </c>
      <c r="D36" t="str">
        <v>Boundary</v>
      </c>
      <c r="E36" t="str">
        <v>High</v>
      </c>
      <c r="F36" t="str">
        <v>Core</v>
      </c>
      <c r="G36">
        <f>COUNTIFS('Test Cases'!$B$5:$B$500,B36,'Test Cases'!$C$5:$C$500,C36)</f>
        <v>1</v>
      </c>
      <c r="H36">
        <f>COUNTIFS('Test Cases'!$B$5:$B$500,B36,'Test Cases'!$C$5:$C$500,C36,'Test Cases'!$L$5:$L$500,"&lt;&gt;Not Run")</f>
        <v>0</v>
      </c>
      <c r="I36">
        <f>COUNTIFS('Test Cases'!$B$5:$B$500,B36,'Test Cases'!$C$5:$C$500,C36,'Test Cases'!$L$5:$L$500,"Pass")</f>
        <v>0</v>
      </c>
      <c r="J36">
        <f>COUNTIFS('Test Cases'!$B$5:$B$500,B36,'Test Cases'!$C$5:$C$500,C36,'Test Cases'!$L$5:$L$500,"Fail")</f>
        <v>0</v>
      </c>
      <c r="K36">
        <f>COUNTIFS('Test Cases'!$B$5:$B$500,B36,'Test Cases'!$C$5:$C$500,C36,'Test Cases'!$L$5:$L$500,"Blocked")</f>
        <v>0</v>
      </c>
    </row>
    <row r="37">
      <c r="A37" t="str">
        <v>F-033</v>
      </c>
      <c r="B37" t="str">
        <v>Profile &amp; Resume</v>
      </c>
      <c r="C37" t="str">
        <v>Corrupt resume</v>
      </c>
      <c r="D37" t="str">
        <v>Negative</v>
      </c>
      <c r="E37" t="str">
        <v>Medium</v>
      </c>
      <c r="F37" t="str">
        <v>Core</v>
      </c>
      <c r="G37">
        <f>COUNTIFS('Test Cases'!$B$5:$B$500,B37,'Test Cases'!$C$5:$C$500,C37)</f>
        <v>1</v>
      </c>
      <c r="H37">
        <f>COUNTIFS('Test Cases'!$B$5:$B$500,B37,'Test Cases'!$C$5:$C$500,C37,'Test Cases'!$L$5:$L$500,"&lt;&gt;Not Run")</f>
        <v>0</v>
      </c>
      <c r="I37">
        <f>COUNTIFS('Test Cases'!$B$5:$B$500,B37,'Test Cases'!$C$5:$C$500,C37,'Test Cases'!$L$5:$L$500,"Pass")</f>
        <v>0</v>
      </c>
      <c r="J37">
        <f>COUNTIFS('Test Cases'!$B$5:$B$500,B37,'Test Cases'!$C$5:$C$500,C37,'Test Cases'!$L$5:$L$500,"Fail")</f>
        <v>0</v>
      </c>
      <c r="K37">
        <f>COUNTIFS('Test Cases'!$B$5:$B$500,B37,'Test Cases'!$C$5:$C$500,C37,'Test Cases'!$L$5:$L$500,"Blocked")</f>
        <v>0</v>
      </c>
    </row>
    <row r="38">
      <c r="A38" t="str">
        <v>F-034</v>
      </c>
      <c r="B38" t="str">
        <v>Profile &amp; Resume</v>
      </c>
      <c r="C38" t="str">
        <v>Replace resume</v>
      </c>
      <c r="D38" t="str">
        <v>Functional</v>
      </c>
      <c r="E38" t="str">
        <v>Medium</v>
      </c>
      <c r="F38" t="str">
        <v>Core</v>
      </c>
      <c r="G38">
        <f>COUNTIFS('Test Cases'!$B$5:$B$500,B38,'Test Cases'!$C$5:$C$500,C38)</f>
        <v>1</v>
      </c>
      <c r="H38">
        <f>COUNTIFS('Test Cases'!$B$5:$B$500,B38,'Test Cases'!$C$5:$C$500,C38,'Test Cases'!$L$5:$L$500,"&lt;&gt;Not Run")</f>
        <v>0</v>
      </c>
      <c r="I38">
        <f>COUNTIFS('Test Cases'!$B$5:$B$500,B38,'Test Cases'!$C$5:$C$500,C38,'Test Cases'!$L$5:$L$500,"Pass")</f>
        <v>0</v>
      </c>
      <c r="J38">
        <f>COUNTIFS('Test Cases'!$B$5:$B$500,B38,'Test Cases'!$C$5:$C$500,C38,'Test Cases'!$L$5:$L$500,"Fail")</f>
        <v>0</v>
      </c>
      <c r="K38">
        <f>COUNTIFS('Test Cases'!$B$5:$B$500,B38,'Test Cases'!$C$5:$C$500,C38,'Test Cases'!$L$5:$L$500,"Blocked")</f>
        <v>0</v>
      </c>
    </row>
    <row r="39">
      <c r="A39" t="str">
        <v>F-035</v>
      </c>
      <c r="B39" t="str">
        <v>Profile &amp; Resume</v>
      </c>
      <c r="C39" t="str">
        <v>Delete resume</v>
      </c>
      <c r="D39" t="str">
        <v>Functional</v>
      </c>
      <c r="E39" t="str">
        <v>Medium</v>
      </c>
      <c r="F39" t="str">
        <v>Core</v>
      </c>
      <c r="G39">
        <f>COUNTIFS('Test Cases'!$B$5:$B$500,B39,'Test Cases'!$C$5:$C$500,C39)</f>
        <v>1</v>
      </c>
      <c r="H39">
        <f>COUNTIFS('Test Cases'!$B$5:$B$500,B39,'Test Cases'!$C$5:$C$500,C39,'Test Cases'!$L$5:$L$500,"&lt;&gt;Not Run")</f>
        <v>0</v>
      </c>
      <c r="I39">
        <f>COUNTIFS('Test Cases'!$B$5:$B$500,B39,'Test Cases'!$C$5:$C$500,C39,'Test Cases'!$L$5:$L$500,"Pass")</f>
        <v>0</v>
      </c>
      <c r="J39">
        <f>COUNTIFS('Test Cases'!$B$5:$B$500,B39,'Test Cases'!$C$5:$C$500,C39,'Test Cases'!$L$5:$L$500,"Fail")</f>
        <v>0</v>
      </c>
      <c r="K39">
        <f>COUNTIFS('Test Cases'!$B$5:$B$500,B39,'Test Cases'!$C$5:$C$500,C39,'Test Cases'!$L$5:$L$500,"Blocked")</f>
        <v>0</v>
      </c>
    </row>
    <row r="40">
      <c r="A40" t="str">
        <v>F-036</v>
      </c>
      <c r="B40" t="str">
        <v>Profile &amp; Resume</v>
      </c>
      <c r="C40" t="str">
        <v>Special filename</v>
      </c>
      <c r="D40" t="str">
        <v>Negative</v>
      </c>
      <c r="E40" t="str">
        <v>Medium</v>
      </c>
      <c r="F40" t="str">
        <v>Core</v>
      </c>
      <c r="G40">
        <f>COUNTIFS('Test Cases'!$B$5:$B$500,B40,'Test Cases'!$C$5:$C$500,C40)</f>
        <v>1</v>
      </c>
      <c r="H40">
        <f>COUNTIFS('Test Cases'!$B$5:$B$500,B40,'Test Cases'!$C$5:$C$500,C40,'Test Cases'!$L$5:$L$500,"&lt;&gt;Not Run")</f>
        <v>0</v>
      </c>
      <c r="I40">
        <f>COUNTIFS('Test Cases'!$B$5:$B$500,B40,'Test Cases'!$C$5:$C$500,C40,'Test Cases'!$L$5:$L$500,"Pass")</f>
        <v>0</v>
      </c>
      <c r="J40">
        <f>COUNTIFS('Test Cases'!$B$5:$B$500,B40,'Test Cases'!$C$5:$C$500,C40,'Test Cases'!$L$5:$L$500,"Fail")</f>
        <v>0</v>
      </c>
      <c r="K40">
        <f>COUNTIFS('Test Cases'!$B$5:$B$500,B40,'Test Cases'!$C$5:$C$500,C40,'Test Cases'!$L$5:$L$500,"Blocked")</f>
        <v>0</v>
      </c>
    </row>
    <row r="41">
      <c r="A41" t="str">
        <v>F-037</v>
      </c>
      <c r="B41" t="str">
        <v>Profile &amp; Resume</v>
      </c>
      <c r="C41" t="str">
        <v>Profile XSS</v>
      </c>
      <c r="D41" t="str">
        <v>Security</v>
      </c>
      <c r="E41" t="str">
        <v>High</v>
      </c>
      <c r="F41" t="str">
        <v>Core</v>
      </c>
      <c r="G41">
        <f>COUNTIFS('Test Cases'!$B$5:$B$500,B41,'Test Cases'!$C$5:$C$500,C41)</f>
        <v>1</v>
      </c>
      <c r="H41">
        <f>COUNTIFS('Test Cases'!$B$5:$B$500,B41,'Test Cases'!$C$5:$C$500,C41,'Test Cases'!$L$5:$L$500,"&lt;&gt;Not Run")</f>
        <v>0</v>
      </c>
      <c r="I41">
        <f>COUNTIFS('Test Cases'!$B$5:$B$500,B41,'Test Cases'!$C$5:$C$500,C41,'Test Cases'!$L$5:$L$500,"Pass")</f>
        <v>0</v>
      </c>
      <c r="J41">
        <f>COUNTIFS('Test Cases'!$B$5:$B$500,B41,'Test Cases'!$C$5:$C$500,C41,'Test Cases'!$L$5:$L$500,"Fail")</f>
        <v>0</v>
      </c>
      <c r="K41">
        <f>COUNTIFS('Test Cases'!$B$5:$B$500,B41,'Test Cases'!$C$5:$C$500,C41,'Test Cases'!$L$5:$L$500,"Blocked")</f>
        <v>0</v>
      </c>
    </row>
    <row r="42">
      <c r="A42" t="str">
        <v>F-038</v>
      </c>
      <c r="B42" t="str">
        <v>Job Search</v>
      </c>
      <c r="C42" t="str">
        <v>Keyword search exact title</v>
      </c>
      <c r="D42" t="str">
        <v>Smoke</v>
      </c>
      <c r="E42" t="str">
        <v>Critical</v>
      </c>
      <c r="F42" t="str">
        <v>Core</v>
      </c>
      <c r="G42">
        <f>COUNTIFS('Test Cases'!$B$5:$B$500,B42,'Test Cases'!$C$5:$C$500,C42)</f>
        <v>1</v>
      </c>
      <c r="H42">
        <f>COUNTIFS('Test Cases'!$B$5:$B$500,B42,'Test Cases'!$C$5:$C$500,C42,'Test Cases'!$L$5:$L$500,"&lt;&gt;Not Run")</f>
        <v>1</v>
      </c>
      <c r="I42">
        <f>COUNTIFS('Test Cases'!$B$5:$B$500,B42,'Test Cases'!$C$5:$C$500,C42,'Test Cases'!$L$5:$L$500,"Pass")</f>
        <v>1</v>
      </c>
      <c r="J42">
        <f>COUNTIFS('Test Cases'!$B$5:$B$500,B42,'Test Cases'!$C$5:$C$500,C42,'Test Cases'!$L$5:$L$500,"Fail")</f>
        <v>0</v>
      </c>
      <c r="K42">
        <f>COUNTIFS('Test Cases'!$B$5:$B$500,B42,'Test Cases'!$C$5:$C$500,C42,'Test Cases'!$L$5:$L$500,"Blocked")</f>
        <v>0</v>
      </c>
    </row>
    <row r="43">
      <c r="A43" t="str">
        <v>F-039</v>
      </c>
      <c r="B43" t="str">
        <v>Job Search</v>
      </c>
      <c r="C43" t="str">
        <v>Keyword partial match</v>
      </c>
      <c r="D43" t="str">
        <v>Functional</v>
      </c>
      <c r="E43" t="str">
        <v>High</v>
      </c>
      <c r="F43" t="str">
        <v>Core</v>
      </c>
      <c r="G43">
        <f>COUNTIFS('Test Cases'!$B$5:$B$500,B43,'Test Cases'!$C$5:$C$500,C43)</f>
        <v>1</v>
      </c>
      <c r="H43">
        <f>COUNTIFS('Test Cases'!$B$5:$B$500,B43,'Test Cases'!$C$5:$C$500,C43,'Test Cases'!$L$5:$L$500,"&lt;&gt;Not Run")</f>
        <v>1</v>
      </c>
      <c r="I43">
        <f>COUNTIFS('Test Cases'!$B$5:$B$500,B43,'Test Cases'!$C$5:$C$500,C43,'Test Cases'!$L$5:$L$500,"Pass")</f>
        <v>1</v>
      </c>
      <c r="J43">
        <f>COUNTIFS('Test Cases'!$B$5:$B$500,B43,'Test Cases'!$C$5:$C$500,C43,'Test Cases'!$L$5:$L$500,"Fail")</f>
        <v>0</v>
      </c>
      <c r="K43">
        <f>COUNTIFS('Test Cases'!$B$5:$B$500,B43,'Test Cases'!$C$5:$C$500,C43,'Test Cases'!$L$5:$L$500,"Blocked")</f>
        <v>0</v>
      </c>
    </row>
    <row r="44">
      <c r="A44" t="str">
        <v>F-040</v>
      </c>
      <c r="B44" t="str">
        <v>Job Search</v>
      </c>
      <c r="C44" t="str">
        <v>Keyword case-insensitivity</v>
      </c>
      <c r="D44" t="str">
        <v>Functional</v>
      </c>
      <c r="E44" t="str">
        <v>Medium</v>
      </c>
      <c r="F44" t="str">
        <v>Core</v>
      </c>
      <c r="G44">
        <f>COUNTIFS('Test Cases'!$B$5:$B$500,B44,'Test Cases'!$C$5:$C$500,C44)</f>
        <v>1</v>
      </c>
      <c r="H44">
        <f>COUNTIFS('Test Cases'!$B$5:$B$500,B44,'Test Cases'!$C$5:$C$500,C44,'Test Cases'!$L$5:$L$500,"&lt;&gt;Not Run")</f>
        <v>1</v>
      </c>
      <c r="I44">
        <f>COUNTIFS('Test Cases'!$B$5:$B$500,B44,'Test Cases'!$C$5:$C$500,C44,'Test Cases'!$L$5:$L$500,"Pass")</f>
        <v>1</v>
      </c>
      <c r="J44">
        <f>COUNTIFS('Test Cases'!$B$5:$B$500,B44,'Test Cases'!$C$5:$C$500,C44,'Test Cases'!$L$5:$L$500,"Fail")</f>
        <v>0</v>
      </c>
      <c r="K44">
        <f>COUNTIFS('Test Cases'!$B$5:$B$500,B44,'Test Cases'!$C$5:$C$500,C44,'Test Cases'!$L$5:$L$500,"Blocked")</f>
        <v>0</v>
      </c>
    </row>
    <row r="45">
      <c r="A45" t="str">
        <v>F-041</v>
      </c>
      <c r="B45" t="str">
        <v>Job Search</v>
      </c>
      <c r="C45" t="str">
        <v>Keyword with spaces</v>
      </c>
      <c r="D45" t="str">
        <v>Validation</v>
      </c>
      <c r="E45" t="str">
        <v>Medium</v>
      </c>
      <c r="F45" t="str">
        <v>Core</v>
      </c>
      <c r="G45">
        <f>COUNTIFS('Test Cases'!$B$5:$B$500,B45,'Test Cases'!$C$5:$C$500,C45)</f>
        <v>1</v>
      </c>
      <c r="H45">
        <f>COUNTIFS('Test Cases'!$B$5:$B$500,B45,'Test Cases'!$C$5:$C$500,C45,'Test Cases'!$L$5:$L$500,"&lt;&gt;Not Run")</f>
        <v>1</v>
      </c>
      <c r="I45">
        <f>COUNTIFS('Test Cases'!$B$5:$B$500,B45,'Test Cases'!$C$5:$C$500,C45,'Test Cases'!$L$5:$L$500,"Pass")</f>
        <v>0</v>
      </c>
      <c r="J45">
        <f>COUNTIFS('Test Cases'!$B$5:$B$500,B45,'Test Cases'!$C$5:$C$500,C45,'Test Cases'!$L$5:$L$500,"Fail")</f>
        <v>1</v>
      </c>
      <c r="K45">
        <f>COUNTIFS('Test Cases'!$B$5:$B$500,B45,'Test Cases'!$C$5:$C$500,C45,'Test Cases'!$L$5:$L$500,"Blocked")</f>
        <v>0</v>
      </c>
    </row>
    <row r="46">
      <c r="A46" t="str">
        <v>F-042</v>
      </c>
      <c r="B46" t="str">
        <v>Job Search</v>
      </c>
      <c r="C46" t="str">
        <v>Special characters in search</v>
      </c>
      <c r="D46" t="str">
        <v>Negative</v>
      </c>
      <c r="E46" t="str">
        <v>Medium</v>
      </c>
      <c r="F46" t="str">
        <v>Core</v>
      </c>
      <c r="G46">
        <f>COUNTIFS('Test Cases'!$B$5:$B$500,B46,'Test Cases'!$C$5:$C$500,C46)</f>
        <v>1</v>
      </c>
      <c r="H46">
        <f>COUNTIFS('Test Cases'!$B$5:$B$500,B46,'Test Cases'!$C$5:$C$500,C46,'Test Cases'!$L$5:$L$500,"&lt;&gt;Not Run")</f>
        <v>1</v>
      </c>
      <c r="I46">
        <f>COUNTIFS('Test Cases'!$B$5:$B$500,B46,'Test Cases'!$C$5:$C$500,C46,'Test Cases'!$L$5:$L$500,"Pass")</f>
        <v>1</v>
      </c>
      <c r="J46">
        <f>COUNTIFS('Test Cases'!$B$5:$B$500,B46,'Test Cases'!$C$5:$C$500,C46,'Test Cases'!$L$5:$L$500,"Fail")</f>
        <v>0</v>
      </c>
      <c r="K46">
        <f>COUNTIFS('Test Cases'!$B$5:$B$500,B46,'Test Cases'!$C$5:$C$500,C46,'Test Cases'!$L$5:$L$500,"Blocked")</f>
        <v>0</v>
      </c>
    </row>
    <row r="47">
      <c r="A47" t="str">
        <v>F-043</v>
      </c>
      <c r="B47" t="str">
        <v>Job Search</v>
      </c>
      <c r="C47" t="str">
        <v>Empty search</v>
      </c>
      <c r="D47" t="str">
        <v>Negative</v>
      </c>
      <c r="E47" t="str">
        <v>Medium</v>
      </c>
      <c r="F47" t="str">
        <v>Core</v>
      </c>
      <c r="G47">
        <f>COUNTIFS('Test Cases'!$B$5:$B$500,B47,'Test Cases'!$C$5:$C$500,C47)</f>
        <v>1</v>
      </c>
      <c r="H47">
        <f>COUNTIFS('Test Cases'!$B$5:$B$500,B47,'Test Cases'!$C$5:$C$500,C47,'Test Cases'!$L$5:$L$500,"&lt;&gt;Not Run")</f>
        <v>1</v>
      </c>
      <c r="I47">
        <f>COUNTIFS('Test Cases'!$B$5:$B$500,B47,'Test Cases'!$C$5:$C$500,C47,'Test Cases'!$L$5:$L$500,"Pass")</f>
        <v>1</v>
      </c>
      <c r="J47">
        <f>COUNTIFS('Test Cases'!$B$5:$B$500,B47,'Test Cases'!$C$5:$C$500,C47,'Test Cases'!$L$5:$L$500,"Fail")</f>
        <v>0</v>
      </c>
      <c r="K47">
        <f>COUNTIFS('Test Cases'!$B$5:$B$500,B47,'Test Cases'!$C$5:$C$500,C47,'Test Cases'!$L$5:$L$500,"Blocked")</f>
        <v>0</v>
      </c>
    </row>
    <row r="48">
      <c r="A48" t="str">
        <v>F-044</v>
      </c>
      <c r="B48" t="str">
        <v>Job Search</v>
      </c>
      <c r="C48" t="str">
        <v>No-results search</v>
      </c>
      <c r="D48" t="str">
        <v>Functional</v>
      </c>
      <c r="E48" t="str">
        <v>High</v>
      </c>
      <c r="F48" t="str">
        <v>Core</v>
      </c>
      <c r="G48">
        <f>COUNTIFS('Test Cases'!$B$5:$B$500,B48,'Test Cases'!$C$5:$C$500,C48)</f>
        <v>1</v>
      </c>
      <c r="H48">
        <f>COUNTIFS('Test Cases'!$B$5:$B$500,B48,'Test Cases'!$C$5:$C$500,C48,'Test Cases'!$L$5:$L$500,"&lt;&gt;Not Run")</f>
        <v>1</v>
      </c>
      <c r="I48">
        <f>COUNTIFS('Test Cases'!$B$5:$B$500,B48,'Test Cases'!$C$5:$C$500,C48,'Test Cases'!$L$5:$L$500,"Pass")</f>
        <v>0</v>
      </c>
      <c r="J48">
        <f>COUNTIFS('Test Cases'!$B$5:$B$500,B48,'Test Cases'!$C$5:$C$500,C48,'Test Cases'!$L$5:$L$500,"Fail")</f>
        <v>1</v>
      </c>
      <c r="K48">
        <f>COUNTIFS('Test Cases'!$B$5:$B$500,B48,'Test Cases'!$C$5:$C$500,C48,'Test Cases'!$L$5:$L$500,"Blocked")</f>
        <v>0</v>
      </c>
    </row>
    <row r="49">
      <c r="A49" t="str">
        <v>F-045</v>
      </c>
      <c r="B49" t="str">
        <v>Job Search</v>
      </c>
      <c r="C49" t="str">
        <v>Location search</v>
      </c>
      <c r="D49" t="str">
        <v>Functional</v>
      </c>
      <c r="E49" t="str">
        <v>High</v>
      </c>
      <c r="F49" t="str">
        <v>Core</v>
      </c>
      <c r="G49">
        <f>COUNTIFS('Test Cases'!$B$5:$B$500,B49,'Test Cases'!$C$5:$C$500,C49)</f>
        <v>1</v>
      </c>
      <c r="H49">
        <f>COUNTIFS('Test Cases'!$B$5:$B$500,B49,'Test Cases'!$C$5:$C$500,C49,'Test Cases'!$L$5:$L$500,"&lt;&gt;Not Run")</f>
        <v>1</v>
      </c>
      <c r="I49">
        <f>COUNTIFS('Test Cases'!$B$5:$B$500,B49,'Test Cases'!$C$5:$C$500,C49,'Test Cases'!$L$5:$L$500,"Pass")</f>
        <v>1</v>
      </c>
      <c r="J49">
        <f>COUNTIFS('Test Cases'!$B$5:$B$500,B49,'Test Cases'!$C$5:$C$500,C49,'Test Cases'!$L$5:$L$500,"Fail")</f>
        <v>0</v>
      </c>
      <c r="K49">
        <f>COUNTIFS('Test Cases'!$B$5:$B$500,B49,'Test Cases'!$C$5:$C$500,C49,'Test Cases'!$L$5:$L$500,"Blocked")</f>
        <v>0</v>
      </c>
    </row>
    <row r="50">
      <c r="A50" t="str">
        <v>F-046</v>
      </c>
      <c r="B50" t="str">
        <v>Job Search</v>
      </c>
      <c r="C50" t="str">
        <v>State search</v>
      </c>
      <c r="D50" t="str">
        <v>Functional</v>
      </c>
      <c r="E50" t="str">
        <v>High</v>
      </c>
      <c r="F50" t="str">
        <v>Core</v>
      </c>
      <c r="G50">
        <f>COUNTIFS('Test Cases'!$B$5:$B$500,B50,'Test Cases'!$C$5:$C$500,C50)</f>
        <v>1</v>
      </c>
      <c r="H50">
        <f>COUNTIFS('Test Cases'!$B$5:$B$500,B50,'Test Cases'!$C$5:$C$500,C50,'Test Cases'!$L$5:$L$500,"&lt;&gt;Not Run")</f>
        <v>1</v>
      </c>
      <c r="I50">
        <f>COUNTIFS('Test Cases'!$B$5:$B$500,B50,'Test Cases'!$C$5:$C$500,C50,'Test Cases'!$L$5:$L$500,"Pass")</f>
        <v>1</v>
      </c>
      <c r="J50">
        <f>COUNTIFS('Test Cases'!$B$5:$B$500,B50,'Test Cases'!$C$5:$C$500,C50,'Test Cases'!$L$5:$L$500,"Fail")</f>
        <v>0</v>
      </c>
      <c r="K50">
        <f>COUNTIFS('Test Cases'!$B$5:$B$500,B50,'Test Cases'!$C$5:$C$500,C50,'Test Cases'!$L$5:$L$500,"Blocked")</f>
        <v>0</v>
      </c>
    </row>
    <row r="51">
      <c r="A51" t="str">
        <v>F-047</v>
      </c>
      <c r="B51" t="str">
        <v>Job Search</v>
      </c>
      <c r="C51" t="str">
        <v>Experience filter minimum</v>
      </c>
      <c r="D51" t="str">
        <v>Boundary</v>
      </c>
      <c r="E51" t="str">
        <v>High</v>
      </c>
      <c r="F51" t="str">
        <v>Core</v>
      </c>
      <c r="G51">
        <f>COUNTIFS('Test Cases'!$B$5:$B$500,B51,'Test Cases'!$C$5:$C$500,C51)</f>
        <v>1</v>
      </c>
      <c r="H51">
        <f>COUNTIFS('Test Cases'!$B$5:$B$500,B51,'Test Cases'!$C$5:$C$500,C51,'Test Cases'!$L$5:$L$500,"&lt;&gt;Not Run")</f>
        <v>1</v>
      </c>
      <c r="I51">
        <f>COUNTIFS('Test Cases'!$B$5:$B$500,B51,'Test Cases'!$C$5:$C$500,C51,'Test Cases'!$L$5:$L$500,"Pass")</f>
        <v>0</v>
      </c>
      <c r="J51">
        <f>COUNTIFS('Test Cases'!$B$5:$B$500,B51,'Test Cases'!$C$5:$C$500,C51,'Test Cases'!$L$5:$L$500,"Fail")</f>
        <v>0</v>
      </c>
      <c r="K51">
        <f>COUNTIFS('Test Cases'!$B$5:$B$500,B51,'Test Cases'!$C$5:$C$500,C51,'Test Cases'!$L$5:$L$500,"Blocked")</f>
        <v>0</v>
      </c>
    </row>
    <row r="52">
      <c r="A52" t="str">
        <v>F-048</v>
      </c>
      <c r="B52" t="str">
        <v>Job Search</v>
      </c>
      <c r="C52" t="str">
        <v>Experience filter maximum</v>
      </c>
      <c r="D52" t="str">
        <v>Boundary</v>
      </c>
      <c r="E52" t="str">
        <v>High</v>
      </c>
      <c r="F52" t="str">
        <v>Core</v>
      </c>
      <c r="G52">
        <f>COUNTIFS('Test Cases'!$B$5:$B$500,B52,'Test Cases'!$C$5:$C$500,C52)</f>
        <v>1</v>
      </c>
      <c r="H52">
        <f>COUNTIFS('Test Cases'!$B$5:$B$500,B52,'Test Cases'!$C$5:$C$500,C52,'Test Cases'!$L$5:$L$500,"&lt;&gt;Not Run")</f>
        <v>1</v>
      </c>
      <c r="I52">
        <f>COUNTIFS('Test Cases'!$B$5:$B$500,B52,'Test Cases'!$C$5:$C$500,C52,'Test Cases'!$L$5:$L$500,"Pass")</f>
        <v>0</v>
      </c>
      <c r="J52">
        <f>COUNTIFS('Test Cases'!$B$5:$B$500,B52,'Test Cases'!$C$5:$C$500,C52,'Test Cases'!$L$5:$L$500,"Fail")</f>
        <v>0</v>
      </c>
      <c r="K52">
        <f>COUNTIFS('Test Cases'!$B$5:$B$500,B52,'Test Cases'!$C$5:$C$500,C52,'Test Cases'!$L$5:$L$500,"Blocked")</f>
        <v>0</v>
      </c>
    </row>
    <row r="53">
      <c r="A53" t="str">
        <v>F-049</v>
      </c>
      <c r="B53" t="str">
        <v>Job Search</v>
      </c>
      <c r="C53" t="str">
        <v>Salary filter lower bound</v>
      </c>
      <c r="D53" t="str">
        <v>Boundary</v>
      </c>
      <c r="E53" t="str">
        <v>Medium</v>
      </c>
      <c r="F53" t="str">
        <v>Core</v>
      </c>
      <c r="G53">
        <f>COUNTIFS('Test Cases'!$B$5:$B$500,B53,'Test Cases'!$C$5:$C$500,C53)</f>
        <v>1</v>
      </c>
      <c r="H53">
        <f>COUNTIFS('Test Cases'!$B$5:$B$500,B53,'Test Cases'!$C$5:$C$500,C53,'Test Cases'!$L$5:$L$500,"&lt;&gt;Not Run")</f>
        <v>1</v>
      </c>
      <c r="I53">
        <f>COUNTIFS('Test Cases'!$B$5:$B$500,B53,'Test Cases'!$C$5:$C$500,C53,'Test Cases'!$L$5:$L$500,"Pass")</f>
        <v>0</v>
      </c>
      <c r="J53">
        <f>COUNTIFS('Test Cases'!$B$5:$B$500,B53,'Test Cases'!$C$5:$C$500,C53,'Test Cases'!$L$5:$L$500,"Fail")</f>
        <v>0</v>
      </c>
      <c r="K53">
        <f>COUNTIFS('Test Cases'!$B$5:$B$500,B53,'Test Cases'!$C$5:$C$500,C53,'Test Cases'!$L$5:$L$500,"Blocked")</f>
        <v>0</v>
      </c>
    </row>
    <row r="54">
      <c r="A54" t="str">
        <v>F-050</v>
      </c>
      <c r="B54" t="str">
        <v>Job Search</v>
      </c>
      <c r="C54" t="str">
        <v>Salary filter upper bound</v>
      </c>
      <c r="D54" t="str">
        <v>Boundary</v>
      </c>
      <c r="E54" t="str">
        <v>Medium</v>
      </c>
      <c r="F54" t="str">
        <v>Core</v>
      </c>
      <c r="G54">
        <f>COUNTIFS('Test Cases'!$B$5:$B$500,B54,'Test Cases'!$C$5:$C$500,C54)</f>
        <v>1</v>
      </c>
      <c r="H54">
        <f>COUNTIFS('Test Cases'!$B$5:$B$500,B54,'Test Cases'!$C$5:$C$500,C54,'Test Cases'!$L$5:$L$500,"&lt;&gt;Not Run")</f>
        <v>1</v>
      </c>
      <c r="I54">
        <f>COUNTIFS('Test Cases'!$B$5:$B$500,B54,'Test Cases'!$C$5:$C$500,C54,'Test Cases'!$L$5:$L$500,"Pass")</f>
        <v>0</v>
      </c>
      <c r="J54">
        <f>COUNTIFS('Test Cases'!$B$5:$B$500,B54,'Test Cases'!$C$5:$C$500,C54,'Test Cases'!$L$5:$L$500,"Fail")</f>
        <v>0</v>
      </c>
      <c r="K54">
        <f>COUNTIFS('Test Cases'!$B$5:$B$500,B54,'Test Cases'!$C$5:$C$500,C54,'Test Cases'!$L$5:$L$500,"Blocked")</f>
        <v>0</v>
      </c>
    </row>
    <row r="55">
      <c r="A55" t="str">
        <v>F-051</v>
      </c>
      <c r="B55" t="str">
        <v>Job Search</v>
      </c>
      <c r="C55" t="str">
        <v>Job type filter</v>
      </c>
      <c r="D55" t="str">
        <v>Functional</v>
      </c>
      <c r="E55" t="str">
        <v>High</v>
      </c>
      <c r="F55" t="str">
        <v>Core</v>
      </c>
      <c r="G55">
        <f>COUNTIFS('Test Cases'!$B$5:$B$500,B55,'Test Cases'!$C$5:$C$500,C55)</f>
        <v>1</v>
      </c>
      <c r="H55">
        <f>COUNTIFS('Test Cases'!$B$5:$B$500,B55,'Test Cases'!$C$5:$C$500,C55,'Test Cases'!$L$5:$L$500,"&lt;&gt;Not Run")</f>
        <v>0</v>
      </c>
      <c r="I55">
        <f>COUNTIFS('Test Cases'!$B$5:$B$500,B55,'Test Cases'!$C$5:$C$500,C55,'Test Cases'!$L$5:$L$500,"Pass")</f>
        <v>0</v>
      </c>
      <c r="J55">
        <f>COUNTIFS('Test Cases'!$B$5:$B$500,B55,'Test Cases'!$C$5:$C$500,C55,'Test Cases'!$L$5:$L$500,"Fail")</f>
        <v>0</v>
      </c>
      <c r="K55">
        <f>COUNTIFS('Test Cases'!$B$5:$B$500,B55,'Test Cases'!$C$5:$C$500,C55,'Test Cases'!$L$5:$L$500,"Blocked")</f>
        <v>0</v>
      </c>
    </row>
    <row r="56">
      <c r="A56" t="str">
        <v>F-052</v>
      </c>
      <c r="B56" t="str">
        <v>Job Search</v>
      </c>
      <c r="C56" t="str">
        <v>Work mode filter</v>
      </c>
      <c r="D56" t="str">
        <v>Functional</v>
      </c>
      <c r="E56" t="str">
        <v>High</v>
      </c>
      <c r="F56" t="str">
        <v>Core</v>
      </c>
      <c r="G56">
        <f>COUNTIFS('Test Cases'!$B$5:$B$500,B56,'Test Cases'!$C$5:$C$500,C56)</f>
        <v>1</v>
      </c>
      <c r="H56">
        <f>COUNTIFS('Test Cases'!$B$5:$B$500,B56,'Test Cases'!$C$5:$C$500,C56,'Test Cases'!$L$5:$L$500,"&lt;&gt;Not Run")</f>
        <v>0</v>
      </c>
      <c r="I56">
        <f>COUNTIFS('Test Cases'!$B$5:$B$500,B56,'Test Cases'!$C$5:$C$500,C56,'Test Cases'!$L$5:$L$500,"Pass")</f>
        <v>0</v>
      </c>
      <c r="J56">
        <f>COUNTIFS('Test Cases'!$B$5:$B$500,B56,'Test Cases'!$C$5:$C$500,C56,'Test Cases'!$L$5:$L$500,"Fail")</f>
        <v>0</v>
      </c>
      <c r="K56">
        <f>COUNTIFS('Test Cases'!$B$5:$B$500,B56,'Test Cases'!$C$5:$C$500,C56,'Test Cases'!$L$5:$L$500,"Blocked")</f>
        <v>0</v>
      </c>
    </row>
    <row r="57">
      <c r="A57" t="str">
        <v>F-053</v>
      </c>
      <c r="B57" t="str">
        <v>Job Search</v>
      </c>
      <c r="C57" t="str">
        <v>Government jobs filter</v>
      </c>
      <c r="D57" t="str">
        <v>Functional</v>
      </c>
      <c r="E57" t="str">
        <v>Critical</v>
      </c>
      <c r="F57" t="str">
        <v>Core</v>
      </c>
      <c r="G57">
        <f>COUNTIFS('Test Cases'!$B$5:$B$500,B57,'Test Cases'!$C$5:$C$500,C57)</f>
        <v>1</v>
      </c>
      <c r="H57">
        <f>COUNTIFS('Test Cases'!$B$5:$B$500,B57,'Test Cases'!$C$5:$C$500,C57,'Test Cases'!$L$5:$L$500,"&lt;&gt;Not Run")</f>
        <v>0</v>
      </c>
      <c r="I57">
        <f>COUNTIFS('Test Cases'!$B$5:$B$500,B57,'Test Cases'!$C$5:$C$500,C57,'Test Cases'!$L$5:$L$500,"Pass")</f>
        <v>0</v>
      </c>
      <c r="J57">
        <f>COUNTIFS('Test Cases'!$B$5:$B$500,B57,'Test Cases'!$C$5:$C$500,C57,'Test Cases'!$L$5:$L$500,"Fail")</f>
        <v>0</v>
      </c>
      <c r="K57">
        <f>COUNTIFS('Test Cases'!$B$5:$B$500,B57,'Test Cases'!$C$5:$C$500,C57,'Test Cases'!$L$5:$L$500,"Blocked")</f>
        <v>0</v>
      </c>
    </row>
    <row r="58">
      <c r="A58" t="str">
        <v>F-054</v>
      </c>
      <c r="B58" t="str">
        <v>Job Search</v>
      </c>
      <c r="C58" t="str">
        <v>Private jobs filter</v>
      </c>
      <c r="D58" t="str">
        <v>Functional</v>
      </c>
      <c r="E58" t="str">
        <v>Critical</v>
      </c>
      <c r="F58" t="str">
        <v>Core</v>
      </c>
      <c r="G58">
        <f>COUNTIFS('Test Cases'!$B$5:$B$500,B58,'Test Cases'!$C$5:$C$500,C58)</f>
        <v>1</v>
      </c>
      <c r="H58">
        <f>COUNTIFS('Test Cases'!$B$5:$B$500,B58,'Test Cases'!$C$5:$C$500,C58,'Test Cases'!$L$5:$L$500,"&lt;&gt;Not Run")</f>
        <v>0</v>
      </c>
      <c r="I58">
        <f>COUNTIFS('Test Cases'!$B$5:$B$500,B58,'Test Cases'!$C$5:$C$500,C58,'Test Cases'!$L$5:$L$500,"Pass")</f>
        <v>0</v>
      </c>
      <c r="J58">
        <f>COUNTIFS('Test Cases'!$B$5:$B$500,B58,'Test Cases'!$C$5:$C$500,C58,'Test Cases'!$L$5:$L$500,"Fail")</f>
        <v>0</v>
      </c>
      <c r="K58">
        <f>COUNTIFS('Test Cases'!$B$5:$B$500,B58,'Test Cases'!$C$5:$C$500,C58,'Test Cases'!$L$5:$L$500,"Blocked")</f>
        <v>0</v>
      </c>
    </row>
    <row r="59">
      <c r="A59" t="str">
        <v>F-055</v>
      </c>
      <c r="B59" t="str">
        <v>Job Search</v>
      </c>
      <c r="C59" t="str">
        <v>Multiple filters combined</v>
      </c>
      <c r="D59" t="str">
        <v>Integration</v>
      </c>
      <c r="E59" t="str">
        <v>Critical</v>
      </c>
      <c r="F59" t="str">
        <v>Core</v>
      </c>
      <c r="G59">
        <f>COUNTIFS('Test Cases'!$B$5:$B$500,B59,'Test Cases'!$C$5:$C$500,C59)</f>
        <v>1</v>
      </c>
      <c r="H59">
        <f>COUNTIFS('Test Cases'!$B$5:$B$500,B59,'Test Cases'!$C$5:$C$500,C59,'Test Cases'!$L$5:$L$500,"&lt;&gt;Not Run")</f>
        <v>0</v>
      </c>
      <c r="I59">
        <f>COUNTIFS('Test Cases'!$B$5:$B$500,B59,'Test Cases'!$C$5:$C$500,C59,'Test Cases'!$L$5:$L$500,"Pass")</f>
        <v>0</v>
      </c>
      <c r="J59">
        <f>COUNTIFS('Test Cases'!$B$5:$B$500,B59,'Test Cases'!$C$5:$C$500,C59,'Test Cases'!$L$5:$L$500,"Fail")</f>
        <v>0</v>
      </c>
      <c r="K59">
        <f>COUNTIFS('Test Cases'!$B$5:$B$500,B59,'Test Cases'!$C$5:$C$500,C59,'Test Cases'!$L$5:$L$500,"Blocked")</f>
        <v>0</v>
      </c>
    </row>
    <row r="60">
      <c r="A60" t="str">
        <v>F-056</v>
      </c>
      <c r="B60" t="str">
        <v>Job Search</v>
      </c>
      <c r="C60" t="str">
        <v>Clear all filters</v>
      </c>
      <c r="D60" t="str">
        <v>Functional</v>
      </c>
      <c r="E60" t="str">
        <v>Medium</v>
      </c>
      <c r="F60" t="str">
        <v>Core</v>
      </c>
      <c r="G60">
        <f>COUNTIFS('Test Cases'!$B$5:$B$500,B60,'Test Cases'!$C$5:$C$500,C60)</f>
        <v>1</v>
      </c>
      <c r="H60">
        <f>COUNTIFS('Test Cases'!$B$5:$B$500,B60,'Test Cases'!$C$5:$C$500,C60,'Test Cases'!$L$5:$L$500,"&lt;&gt;Not Run")</f>
        <v>0</v>
      </c>
      <c r="I60">
        <f>COUNTIFS('Test Cases'!$B$5:$B$500,B60,'Test Cases'!$C$5:$C$500,C60,'Test Cases'!$L$5:$L$500,"Pass")</f>
        <v>0</v>
      </c>
      <c r="J60">
        <f>COUNTIFS('Test Cases'!$B$5:$B$500,B60,'Test Cases'!$C$5:$C$500,C60,'Test Cases'!$L$5:$L$500,"Fail")</f>
        <v>0</v>
      </c>
      <c r="K60">
        <f>COUNTIFS('Test Cases'!$B$5:$B$500,B60,'Test Cases'!$C$5:$C$500,C60,'Test Cases'!$L$5:$L$500,"Blocked")</f>
        <v>0</v>
      </c>
    </row>
    <row r="61">
      <c r="A61" t="str">
        <v>F-057</v>
      </c>
      <c r="B61" t="str">
        <v>Job Search</v>
      </c>
      <c r="C61" t="str">
        <v>Filter persistence with pagination</v>
      </c>
      <c r="D61" t="str">
        <v>Functional</v>
      </c>
      <c r="E61" t="str">
        <v>High</v>
      </c>
      <c r="F61" t="str">
        <v>Core</v>
      </c>
      <c r="G61">
        <f>COUNTIFS('Test Cases'!$B$5:$B$500,B61,'Test Cases'!$C$5:$C$500,C61)</f>
        <v>1</v>
      </c>
      <c r="H61">
        <f>COUNTIFS('Test Cases'!$B$5:$B$500,B61,'Test Cases'!$C$5:$C$500,C61,'Test Cases'!$L$5:$L$500,"&lt;&gt;Not Run")</f>
        <v>0</v>
      </c>
      <c r="I61">
        <f>COUNTIFS('Test Cases'!$B$5:$B$500,B61,'Test Cases'!$C$5:$C$500,C61,'Test Cases'!$L$5:$L$500,"Pass")</f>
        <v>0</v>
      </c>
      <c r="J61">
        <f>COUNTIFS('Test Cases'!$B$5:$B$500,B61,'Test Cases'!$C$5:$C$500,C61,'Test Cases'!$L$5:$L$500,"Fail")</f>
        <v>0</v>
      </c>
      <c r="K61">
        <f>COUNTIFS('Test Cases'!$B$5:$B$500,B61,'Test Cases'!$C$5:$C$500,C61,'Test Cases'!$L$5:$L$500,"Blocked")</f>
        <v>0</v>
      </c>
    </row>
    <row r="62">
      <c r="A62" t="str">
        <v>F-058</v>
      </c>
      <c r="B62" t="str">
        <v>Job Search</v>
      </c>
      <c r="C62" t="str">
        <v>Sort by relevance</v>
      </c>
      <c r="D62" t="str">
        <v>Functional</v>
      </c>
      <c r="E62" t="str">
        <v>Medium</v>
      </c>
      <c r="F62" t="str">
        <v>Core</v>
      </c>
      <c r="G62">
        <f>COUNTIFS('Test Cases'!$B$5:$B$500,B62,'Test Cases'!$C$5:$C$500,C62)</f>
        <v>1</v>
      </c>
      <c r="H62">
        <f>COUNTIFS('Test Cases'!$B$5:$B$500,B62,'Test Cases'!$C$5:$C$500,C62,'Test Cases'!$L$5:$L$500,"&lt;&gt;Not Run")</f>
        <v>0</v>
      </c>
      <c r="I62">
        <f>COUNTIFS('Test Cases'!$B$5:$B$500,B62,'Test Cases'!$C$5:$C$500,C62,'Test Cases'!$L$5:$L$500,"Pass")</f>
        <v>0</v>
      </c>
      <c r="J62">
        <f>COUNTIFS('Test Cases'!$B$5:$B$500,B62,'Test Cases'!$C$5:$C$500,C62,'Test Cases'!$L$5:$L$500,"Fail")</f>
        <v>0</v>
      </c>
      <c r="K62">
        <f>COUNTIFS('Test Cases'!$B$5:$B$500,B62,'Test Cases'!$C$5:$C$500,C62,'Test Cases'!$L$5:$L$500,"Blocked")</f>
        <v>0</v>
      </c>
    </row>
    <row r="63">
      <c r="A63" t="str">
        <v>F-059</v>
      </c>
      <c r="B63" t="str">
        <v>Job Search</v>
      </c>
      <c r="C63" t="str">
        <v>Sort by date</v>
      </c>
      <c r="D63" t="str">
        <v>Functional</v>
      </c>
      <c r="E63" t="str">
        <v>Medium</v>
      </c>
      <c r="F63" t="str">
        <v>Core</v>
      </c>
      <c r="G63">
        <f>COUNTIFS('Test Cases'!$B$5:$B$500,B63,'Test Cases'!$C$5:$C$500,C63)</f>
        <v>1</v>
      </c>
      <c r="H63">
        <f>COUNTIFS('Test Cases'!$B$5:$B$500,B63,'Test Cases'!$C$5:$C$500,C63,'Test Cases'!$L$5:$L$500,"&lt;&gt;Not Run")</f>
        <v>0</v>
      </c>
      <c r="I63">
        <f>COUNTIFS('Test Cases'!$B$5:$B$500,B63,'Test Cases'!$C$5:$C$500,C63,'Test Cases'!$L$5:$L$500,"Pass")</f>
        <v>0</v>
      </c>
      <c r="J63">
        <f>COUNTIFS('Test Cases'!$B$5:$B$500,B63,'Test Cases'!$C$5:$C$500,C63,'Test Cases'!$L$5:$L$500,"Fail")</f>
        <v>0</v>
      </c>
      <c r="K63">
        <f>COUNTIFS('Test Cases'!$B$5:$B$500,B63,'Test Cases'!$C$5:$C$500,C63,'Test Cases'!$L$5:$L$500,"Blocked")</f>
        <v>0</v>
      </c>
    </row>
    <row r="64">
      <c r="A64" t="str">
        <v>F-060</v>
      </c>
      <c r="B64" t="str">
        <v>Job Search</v>
      </c>
      <c r="C64" t="str">
        <v>Sort by salary</v>
      </c>
      <c r="D64" t="str">
        <v>Functional</v>
      </c>
      <c r="E64" t="str">
        <v>Medium</v>
      </c>
      <c r="F64" t="str">
        <v>Core</v>
      </c>
      <c r="G64">
        <f>COUNTIFS('Test Cases'!$B$5:$B$500,B64,'Test Cases'!$C$5:$C$500,C64)</f>
        <v>1</v>
      </c>
      <c r="H64">
        <f>COUNTIFS('Test Cases'!$B$5:$B$500,B64,'Test Cases'!$C$5:$C$500,C64,'Test Cases'!$L$5:$L$500,"&lt;&gt;Not Run")</f>
        <v>0</v>
      </c>
      <c r="I64">
        <f>COUNTIFS('Test Cases'!$B$5:$B$500,B64,'Test Cases'!$C$5:$C$500,C64,'Test Cases'!$L$5:$L$500,"Pass")</f>
        <v>0</v>
      </c>
      <c r="J64">
        <f>COUNTIFS('Test Cases'!$B$5:$B$500,B64,'Test Cases'!$C$5:$C$500,C64,'Test Cases'!$L$5:$L$500,"Fail")</f>
        <v>0</v>
      </c>
      <c r="K64">
        <f>COUNTIFS('Test Cases'!$B$5:$B$500,B64,'Test Cases'!$C$5:$C$500,C64,'Test Cases'!$L$5:$L$500,"Blocked")</f>
        <v>0</v>
      </c>
    </row>
    <row r="65">
      <c r="A65" t="str">
        <v>F-061</v>
      </c>
      <c r="B65" t="str">
        <v>Job Search</v>
      </c>
      <c r="C65" t="str">
        <v>Pagination next/previous</v>
      </c>
      <c r="D65" t="str">
        <v>Functional</v>
      </c>
      <c r="E65" t="str">
        <v>High</v>
      </c>
      <c r="F65" t="str">
        <v>Core</v>
      </c>
      <c r="G65">
        <f>COUNTIFS('Test Cases'!$B$5:$B$500,B65,'Test Cases'!$C$5:$C$500,C65)</f>
        <v>1</v>
      </c>
      <c r="H65">
        <f>COUNTIFS('Test Cases'!$B$5:$B$500,B65,'Test Cases'!$C$5:$C$500,C65,'Test Cases'!$L$5:$L$500,"&lt;&gt;Not Run")</f>
        <v>0</v>
      </c>
      <c r="I65">
        <f>COUNTIFS('Test Cases'!$B$5:$B$500,B65,'Test Cases'!$C$5:$C$500,C65,'Test Cases'!$L$5:$L$500,"Pass")</f>
        <v>0</v>
      </c>
      <c r="J65">
        <f>COUNTIFS('Test Cases'!$B$5:$B$500,B65,'Test Cases'!$C$5:$C$500,C65,'Test Cases'!$L$5:$L$500,"Fail")</f>
        <v>0</v>
      </c>
      <c r="K65">
        <f>COUNTIFS('Test Cases'!$B$5:$B$500,B65,'Test Cases'!$C$5:$C$500,C65,'Test Cases'!$L$5:$L$500,"Blocked")</f>
        <v>0</v>
      </c>
    </row>
    <row r="66">
      <c r="A66" t="str">
        <v>F-062</v>
      </c>
      <c r="B66" t="str">
        <v>Job Search</v>
      </c>
      <c r="C66" t="str">
        <v>Last page boundary</v>
      </c>
      <c r="D66" t="str">
        <v>Boundary</v>
      </c>
      <c r="E66" t="str">
        <v>Medium</v>
      </c>
      <c r="F66" t="str">
        <v>Core</v>
      </c>
      <c r="G66">
        <f>COUNTIFS('Test Cases'!$B$5:$B$500,B66,'Test Cases'!$C$5:$C$500,C66)</f>
        <v>1</v>
      </c>
      <c r="H66">
        <f>COUNTIFS('Test Cases'!$B$5:$B$500,B66,'Test Cases'!$C$5:$C$500,C66,'Test Cases'!$L$5:$L$500,"&lt;&gt;Not Run")</f>
        <v>0</v>
      </c>
      <c r="I66">
        <f>COUNTIFS('Test Cases'!$B$5:$B$500,B66,'Test Cases'!$C$5:$C$500,C66,'Test Cases'!$L$5:$L$500,"Pass")</f>
        <v>0</v>
      </c>
      <c r="J66">
        <f>COUNTIFS('Test Cases'!$B$5:$B$500,B66,'Test Cases'!$C$5:$C$500,C66,'Test Cases'!$L$5:$L$500,"Fail")</f>
        <v>0</v>
      </c>
      <c r="K66">
        <f>COUNTIFS('Test Cases'!$B$5:$B$500,B66,'Test Cases'!$C$5:$C$500,C66,'Test Cases'!$L$5:$L$500,"Blocked")</f>
        <v>0</v>
      </c>
    </row>
    <row r="67">
      <c r="A67" t="str">
        <v>F-063</v>
      </c>
      <c r="B67" t="str">
        <v>Job Search</v>
      </c>
      <c r="C67" t="str">
        <v>Result count accuracy</v>
      </c>
      <c r="D67" t="str">
        <v>Data Quality</v>
      </c>
      <c r="E67" t="str">
        <v>High</v>
      </c>
      <c r="F67" t="str">
        <v>Core</v>
      </c>
      <c r="G67">
        <f>COUNTIFS('Test Cases'!$B$5:$B$500,B67,'Test Cases'!$C$5:$C$500,C67)</f>
        <v>1</v>
      </c>
      <c r="H67">
        <f>COUNTIFS('Test Cases'!$B$5:$B$500,B67,'Test Cases'!$C$5:$C$500,C67,'Test Cases'!$L$5:$L$500,"&lt;&gt;Not Run")</f>
        <v>0</v>
      </c>
      <c r="I67">
        <f>COUNTIFS('Test Cases'!$B$5:$B$500,B67,'Test Cases'!$C$5:$C$500,C67,'Test Cases'!$L$5:$L$500,"Pass")</f>
        <v>0</v>
      </c>
      <c r="J67">
        <f>COUNTIFS('Test Cases'!$B$5:$B$500,B67,'Test Cases'!$C$5:$C$500,C67,'Test Cases'!$L$5:$L$500,"Fail")</f>
        <v>0</v>
      </c>
      <c r="K67">
        <f>COUNTIFS('Test Cases'!$B$5:$B$500,B67,'Test Cases'!$C$5:$C$500,C67,'Test Cases'!$L$5:$L$500,"Blocked")</f>
        <v>0</v>
      </c>
    </row>
    <row r="68">
      <c r="A68" t="str">
        <v>F-064</v>
      </c>
      <c r="B68" t="str">
        <v>Job Search</v>
      </c>
      <c r="C68" t="str">
        <v>Duplicate result check</v>
      </c>
      <c r="D68" t="str">
        <v>Data Quality</v>
      </c>
      <c r="E68" t="str">
        <v>High</v>
      </c>
      <c r="F68" t="str">
        <v>Core</v>
      </c>
      <c r="G68">
        <f>COUNTIFS('Test Cases'!$B$5:$B$500,B68,'Test Cases'!$C$5:$C$500,C68)</f>
        <v>1</v>
      </c>
      <c r="H68">
        <f>COUNTIFS('Test Cases'!$B$5:$B$500,B68,'Test Cases'!$C$5:$C$500,C68,'Test Cases'!$L$5:$L$500,"&lt;&gt;Not Run")</f>
        <v>0</v>
      </c>
      <c r="I68">
        <f>COUNTIFS('Test Cases'!$B$5:$B$500,B68,'Test Cases'!$C$5:$C$500,C68,'Test Cases'!$L$5:$L$500,"Pass")</f>
        <v>0</v>
      </c>
      <c r="J68">
        <f>COUNTIFS('Test Cases'!$B$5:$B$500,B68,'Test Cases'!$C$5:$C$500,C68,'Test Cases'!$L$5:$L$500,"Fail")</f>
        <v>0</v>
      </c>
      <c r="K68">
        <f>COUNTIFS('Test Cases'!$B$5:$B$500,B68,'Test Cases'!$C$5:$C$500,C68,'Test Cases'!$L$5:$L$500,"Blocked")</f>
        <v>0</v>
      </c>
    </row>
    <row r="69">
      <c r="A69" t="str">
        <v>F-065</v>
      </c>
      <c r="B69" t="str">
        <v>Job Search</v>
      </c>
      <c r="C69" t="str">
        <v>Search refresh behavior</v>
      </c>
      <c r="D69" t="str">
        <v>Functional</v>
      </c>
      <c r="E69" t="str">
        <v>Medium</v>
      </c>
      <c r="F69" t="str">
        <v>Core</v>
      </c>
      <c r="G69">
        <f>COUNTIFS('Test Cases'!$B$5:$B$500,B69,'Test Cases'!$C$5:$C$500,C69)</f>
        <v>1</v>
      </c>
      <c r="H69">
        <f>COUNTIFS('Test Cases'!$B$5:$B$500,B69,'Test Cases'!$C$5:$C$500,C69,'Test Cases'!$L$5:$L$500,"&lt;&gt;Not Run")</f>
        <v>0</v>
      </c>
      <c r="I69">
        <f>COUNTIFS('Test Cases'!$B$5:$B$500,B69,'Test Cases'!$C$5:$C$500,C69,'Test Cases'!$L$5:$L$500,"Pass")</f>
        <v>0</v>
      </c>
      <c r="J69">
        <f>COUNTIFS('Test Cases'!$B$5:$B$500,B69,'Test Cases'!$C$5:$C$500,C69,'Test Cases'!$L$5:$L$500,"Fail")</f>
        <v>0</v>
      </c>
      <c r="K69">
        <f>COUNTIFS('Test Cases'!$B$5:$B$500,B69,'Test Cases'!$C$5:$C$500,C69,'Test Cases'!$L$5:$L$500,"Blocked")</f>
        <v>0</v>
      </c>
    </row>
    <row r="70">
      <c r="A70" t="str">
        <v>F-066</v>
      </c>
      <c r="B70" t="str">
        <v>Job Search</v>
      </c>
      <c r="C70" t="str">
        <v>Search malicious input</v>
      </c>
      <c r="D70" t="str">
        <v>Security</v>
      </c>
      <c r="E70" t="str">
        <v>Critical</v>
      </c>
      <c r="F70" t="str">
        <v>Core</v>
      </c>
      <c r="G70">
        <f>COUNTIFS('Test Cases'!$B$5:$B$500,B70,'Test Cases'!$C$5:$C$500,C70)</f>
        <v>1</v>
      </c>
      <c r="H70">
        <f>COUNTIFS('Test Cases'!$B$5:$B$500,B70,'Test Cases'!$C$5:$C$500,C70,'Test Cases'!$L$5:$L$500,"&lt;&gt;Not Run")</f>
        <v>0</v>
      </c>
      <c r="I70">
        <f>COUNTIFS('Test Cases'!$B$5:$B$500,B70,'Test Cases'!$C$5:$C$500,C70,'Test Cases'!$L$5:$L$500,"Pass")</f>
        <v>0</v>
      </c>
      <c r="J70">
        <f>COUNTIFS('Test Cases'!$B$5:$B$500,B70,'Test Cases'!$C$5:$C$500,C70,'Test Cases'!$L$5:$L$500,"Fail")</f>
        <v>0</v>
      </c>
      <c r="K70">
        <f>COUNTIFS('Test Cases'!$B$5:$B$500,B70,'Test Cases'!$C$5:$C$500,C70,'Test Cases'!$L$5:$L$500,"Blocked")</f>
        <v>0</v>
      </c>
    </row>
    <row r="71">
      <c r="A71" t="str">
        <v>F-067</v>
      </c>
      <c r="B71" t="str">
        <v>Job Search</v>
      </c>
      <c r="C71" t="str">
        <v>Very long search string</v>
      </c>
      <c r="D71" t="str">
        <v>Boundary</v>
      </c>
      <c r="E71" t="str">
        <v>Medium</v>
      </c>
      <c r="F71" t="str">
        <v>Core</v>
      </c>
      <c r="G71">
        <f>COUNTIFS('Test Cases'!$B$5:$B$500,B71,'Test Cases'!$C$5:$C$500,C71)</f>
        <v>1</v>
      </c>
      <c r="H71">
        <f>COUNTIFS('Test Cases'!$B$5:$B$500,B71,'Test Cases'!$C$5:$C$500,C71,'Test Cases'!$L$5:$L$500,"&lt;&gt;Not Run")</f>
        <v>0</v>
      </c>
      <c r="I71">
        <f>COUNTIFS('Test Cases'!$B$5:$B$500,B71,'Test Cases'!$C$5:$C$500,C71,'Test Cases'!$L$5:$L$500,"Pass")</f>
        <v>0</v>
      </c>
      <c r="J71">
        <f>COUNTIFS('Test Cases'!$B$5:$B$500,B71,'Test Cases'!$C$5:$C$500,C71,'Test Cases'!$L$5:$L$500,"Fail")</f>
        <v>0</v>
      </c>
      <c r="K71">
        <f>COUNTIFS('Test Cases'!$B$5:$B$500,B71,'Test Cases'!$C$5:$C$500,C71,'Test Cases'!$L$5:$L$500,"Blocked")</f>
        <v>0</v>
      </c>
    </row>
    <row r="72">
      <c r="A72" t="str">
        <v>F-068</v>
      </c>
      <c r="B72" t="str">
        <v>Job Listing</v>
      </c>
      <c r="C72" t="str">
        <v>Job card content</v>
      </c>
      <c r="D72" t="str">
        <v>Smoke</v>
      </c>
      <c r="E72" t="str">
        <v>High</v>
      </c>
      <c r="F72" t="str">
        <v>Core</v>
      </c>
      <c r="G72">
        <f>COUNTIFS('Test Cases'!$B$5:$B$500,B72,'Test Cases'!$C$5:$C$500,C72)</f>
        <v>1</v>
      </c>
      <c r="H72">
        <f>COUNTIFS('Test Cases'!$B$5:$B$500,B72,'Test Cases'!$C$5:$C$500,C72,'Test Cases'!$L$5:$L$500,"&lt;&gt;Not Run")</f>
        <v>0</v>
      </c>
      <c r="I72">
        <f>COUNTIFS('Test Cases'!$B$5:$B$500,B72,'Test Cases'!$C$5:$C$500,C72,'Test Cases'!$L$5:$L$500,"Pass")</f>
        <v>0</v>
      </c>
      <c r="J72">
        <f>COUNTIFS('Test Cases'!$B$5:$B$500,B72,'Test Cases'!$C$5:$C$500,C72,'Test Cases'!$L$5:$L$500,"Fail")</f>
        <v>0</v>
      </c>
      <c r="K72">
        <f>COUNTIFS('Test Cases'!$B$5:$B$500,B72,'Test Cases'!$C$5:$C$500,C72,'Test Cases'!$L$5:$L$500,"Blocked")</f>
        <v>0</v>
      </c>
    </row>
    <row r="73">
      <c r="A73" t="str">
        <v>F-069</v>
      </c>
      <c r="B73" t="str">
        <v>Job Listing</v>
      </c>
      <c r="C73" t="str">
        <v>Job title accuracy</v>
      </c>
      <c r="D73" t="str">
        <v>Data Quality</v>
      </c>
      <c r="E73" t="str">
        <v>High</v>
      </c>
      <c r="F73" t="str">
        <v>Core</v>
      </c>
      <c r="G73">
        <f>COUNTIFS('Test Cases'!$B$5:$B$500,B73,'Test Cases'!$C$5:$C$500,C73)</f>
        <v>1</v>
      </c>
      <c r="H73">
        <f>COUNTIFS('Test Cases'!$B$5:$B$500,B73,'Test Cases'!$C$5:$C$500,C73,'Test Cases'!$L$5:$L$500,"&lt;&gt;Not Run")</f>
        <v>0</v>
      </c>
      <c r="I73">
        <f>COUNTIFS('Test Cases'!$B$5:$B$500,B73,'Test Cases'!$C$5:$C$500,C73,'Test Cases'!$L$5:$L$500,"Pass")</f>
        <v>0</v>
      </c>
      <c r="J73">
        <f>COUNTIFS('Test Cases'!$B$5:$B$500,B73,'Test Cases'!$C$5:$C$500,C73,'Test Cases'!$L$5:$L$500,"Fail")</f>
        <v>0</v>
      </c>
      <c r="K73">
        <f>COUNTIFS('Test Cases'!$B$5:$B$500,B73,'Test Cases'!$C$5:$C$500,C73,'Test Cases'!$L$5:$L$500,"Blocked")</f>
        <v>0</v>
      </c>
    </row>
    <row r="74">
      <c r="A74" t="str">
        <v>F-070</v>
      </c>
      <c r="B74" t="str">
        <v>Job Listing</v>
      </c>
      <c r="C74" t="str">
        <v>Company name accuracy</v>
      </c>
      <c r="D74" t="str">
        <v>Data Quality</v>
      </c>
      <c r="E74" t="str">
        <v>High</v>
      </c>
      <c r="F74" t="str">
        <v>Core</v>
      </c>
      <c r="G74">
        <f>COUNTIFS('Test Cases'!$B$5:$B$500,B74,'Test Cases'!$C$5:$C$500,C74)</f>
        <v>1</v>
      </c>
      <c r="H74">
        <f>COUNTIFS('Test Cases'!$B$5:$B$500,B74,'Test Cases'!$C$5:$C$500,C74,'Test Cases'!$L$5:$L$500,"&lt;&gt;Not Run")</f>
        <v>0</v>
      </c>
      <c r="I74">
        <f>COUNTIFS('Test Cases'!$B$5:$B$500,B74,'Test Cases'!$C$5:$C$500,C74,'Test Cases'!$L$5:$L$500,"Pass")</f>
        <v>0</v>
      </c>
      <c r="J74">
        <f>COUNTIFS('Test Cases'!$B$5:$B$500,B74,'Test Cases'!$C$5:$C$500,C74,'Test Cases'!$L$5:$L$500,"Fail")</f>
        <v>0</v>
      </c>
      <c r="K74">
        <f>COUNTIFS('Test Cases'!$B$5:$B$500,B74,'Test Cases'!$C$5:$C$500,C74,'Test Cases'!$L$5:$L$500,"Blocked")</f>
        <v>0</v>
      </c>
    </row>
    <row r="75">
      <c r="A75" t="str">
        <v>F-071</v>
      </c>
      <c r="B75" t="str">
        <v>Job Listing</v>
      </c>
      <c r="C75" t="str">
        <v>Location accuracy</v>
      </c>
      <c r="D75" t="str">
        <v>Data Quality</v>
      </c>
      <c r="E75" t="str">
        <v>High</v>
      </c>
      <c r="F75" t="str">
        <v>Core</v>
      </c>
      <c r="G75">
        <f>COUNTIFS('Test Cases'!$B$5:$B$500,B75,'Test Cases'!$C$5:$C$500,C75)</f>
        <v>1</v>
      </c>
      <c r="H75">
        <f>COUNTIFS('Test Cases'!$B$5:$B$500,B75,'Test Cases'!$C$5:$C$500,C75,'Test Cases'!$L$5:$L$500,"&lt;&gt;Not Run")</f>
        <v>0</v>
      </c>
      <c r="I75">
        <f>COUNTIFS('Test Cases'!$B$5:$B$500,B75,'Test Cases'!$C$5:$C$500,C75,'Test Cases'!$L$5:$L$500,"Pass")</f>
        <v>0</v>
      </c>
      <c r="J75">
        <f>COUNTIFS('Test Cases'!$B$5:$B$500,B75,'Test Cases'!$C$5:$C$500,C75,'Test Cases'!$L$5:$L$500,"Fail")</f>
        <v>0</v>
      </c>
      <c r="K75">
        <f>COUNTIFS('Test Cases'!$B$5:$B$500,B75,'Test Cases'!$C$5:$C$500,C75,'Test Cases'!$L$5:$L$500,"Blocked")</f>
        <v>0</v>
      </c>
    </row>
    <row r="76">
      <c r="A76" t="str">
        <v>F-072</v>
      </c>
      <c r="B76" t="str">
        <v>Job Listing</v>
      </c>
      <c r="C76" t="str">
        <v>Posted date display</v>
      </c>
      <c r="D76" t="str">
        <v>Data Quality</v>
      </c>
      <c r="E76" t="str">
        <v>High</v>
      </c>
      <c r="F76" t="str">
        <v>Core</v>
      </c>
      <c r="G76">
        <f>COUNTIFS('Test Cases'!$B$5:$B$500,B76,'Test Cases'!$C$5:$C$500,C76)</f>
        <v>1</v>
      </c>
      <c r="H76">
        <f>COUNTIFS('Test Cases'!$B$5:$B$500,B76,'Test Cases'!$C$5:$C$500,C76,'Test Cases'!$L$5:$L$500,"&lt;&gt;Not Run")</f>
        <v>0</v>
      </c>
      <c r="I76">
        <f>COUNTIFS('Test Cases'!$B$5:$B$500,B76,'Test Cases'!$C$5:$C$500,C76,'Test Cases'!$L$5:$L$500,"Pass")</f>
        <v>0</v>
      </c>
      <c r="J76">
        <f>COUNTIFS('Test Cases'!$B$5:$B$500,B76,'Test Cases'!$C$5:$C$500,C76,'Test Cases'!$L$5:$L$500,"Fail")</f>
        <v>0</v>
      </c>
      <c r="K76">
        <f>COUNTIFS('Test Cases'!$B$5:$B$500,B76,'Test Cases'!$C$5:$C$500,C76,'Test Cases'!$L$5:$L$500,"Blocked")</f>
        <v>0</v>
      </c>
    </row>
    <row r="77">
      <c r="A77" t="str">
        <v>F-073</v>
      </c>
      <c r="B77" t="str">
        <v>Job Listing</v>
      </c>
      <c r="C77" t="str">
        <v>Salary display</v>
      </c>
      <c r="D77" t="str">
        <v>Data Quality</v>
      </c>
      <c r="E77" t="str">
        <v>Medium</v>
      </c>
      <c r="F77" t="str">
        <v>Core</v>
      </c>
      <c r="G77">
        <f>COUNTIFS('Test Cases'!$B$5:$B$500,B77,'Test Cases'!$C$5:$C$500,C77)</f>
        <v>1</v>
      </c>
      <c r="H77">
        <f>COUNTIFS('Test Cases'!$B$5:$B$500,B77,'Test Cases'!$C$5:$C$500,C77,'Test Cases'!$L$5:$L$500,"&lt;&gt;Not Run")</f>
        <v>0</v>
      </c>
      <c r="I77">
        <f>COUNTIFS('Test Cases'!$B$5:$B$500,B77,'Test Cases'!$C$5:$C$500,C77,'Test Cases'!$L$5:$L$500,"Pass")</f>
        <v>0</v>
      </c>
      <c r="J77">
        <f>COUNTIFS('Test Cases'!$B$5:$B$500,B77,'Test Cases'!$C$5:$C$500,C77,'Test Cases'!$L$5:$L$500,"Fail")</f>
        <v>0</v>
      </c>
      <c r="K77">
        <f>COUNTIFS('Test Cases'!$B$5:$B$500,B77,'Test Cases'!$C$5:$C$500,C77,'Test Cases'!$L$5:$L$500,"Blocked")</f>
        <v>0</v>
      </c>
    </row>
    <row r="78">
      <c r="A78" t="str">
        <v>F-074</v>
      </c>
      <c r="B78" t="str">
        <v>Job Listing</v>
      </c>
      <c r="C78" t="str">
        <v>Experience display</v>
      </c>
      <c r="D78" t="str">
        <v>Data Quality</v>
      </c>
      <c r="E78" t="str">
        <v>Medium</v>
      </c>
      <c r="F78" t="str">
        <v>Core</v>
      </c>
      <c r="G78">
        <f>COUNTIFS('Test Cases'!$B$5:$B$500,B78,'Test Cases'!$C$5:$C$500,C78)</f>
        <v>1</v>
      </c>
      <c r="H78">
        <f>COUNTIFS('Test Cases'!$B$5:$B$500,B78,'Test Cases'!$C$5:$C$500,C78,'Test Cases'!$L$5:$L$500,"&lt;&gt;Not Run")</f>
        <v>0</v>
      </c>
      <c r="I78">
        <f>COUNTIFS('Test Cases'!$B$5:$B$500,B78,'Test Cases'!$C$5:$C$500,C78,'Test Cases'!$L$5:$L$500,"Pass")</f>
        <v>0</v>
      </c>
      <c r="J78">
        <f>COUNTIFS('Test Cases'!$B$5:$B$500,B78,'Test Cases'!$C$5:$C$500,C78,'Test Cases'!$L$5:$L$500,"Fail")</f>
        <v>0</v>
      </c>
      <c r="K78">
        <f>COUNTIFS('Test Cases'!$B$5:$B$500,B78,'Test Cases'!$C$5:$C$500,C78,'Test Cases'!$L$5:$L$500,"Blocked")</f>
        <v>0</v>
      </c>
    </row>
    <row r="79">
      <c r="A79" t="str">
        <v>F-075</v>
      </c>
      <c r="B79" t="str">
        <v>Job Listing</v>
      </c>
      <c r="C79" t="str">
        <v>Job type display</v>
      </c>
      <c r="D79" t="str">
        <v>Data Quality</v>
      </c>
      <c r="E79" t="str">
        <v>Medium</v>
      </c>
      <c r="F79" t="str">
        <v>Core</v>
      </c>
      <c r="G79">
        <f>COUNTIFS('Test Cases'!$B$5:$B$500,B79,'Test Cases'!$C$5:$C$500,C79)</f>
        <v>1</v>
      </c>
      <c r="H79">
        <f>COUNTIFS('Test Cases'!$B$5:$B$500,B79,'Test Cases'!$C$5:$C$500,C79,'Test Cases'!$L$5:$L$500,"&lt;&gt;Not Run")</f>
        <v>0</v>
      </c>
      <c r="I79">
        <f>COUNTIFS('Test Cases'!$B$5:$B$500,B79,'Test Cases'!$C$5:$C$500,C79,'Test Cases'!$L$5:$L$500,"Pass")</f>
        <v>0</v>
      </c>
      <c r="J79">
        <f>COUNTIFS('Test Cases'!$B$5:$B$500,B79,'Test Cases'!$C$5:$C$500,C79,'Test Cases'!$L$5:$L$500,"Fail")</f>
        <v>0</v>
      </c>
      <c r="K79">
        <f>COUNTIFS('Test Cases'!$B$5:$B$500,B79,'Test Cases'!$C$5:$C$500,C79,'Test Cases'!$L$5:$L$500,"Blocked")</f>
        <v>0</v>
      </c>
    </row>
    <row r="80">
      <c r="A80" t="str">
        <v>F-076</v>
      </c>
      <c r="B80" t="str">
        <v>Job Listing</v>
      </c>
      <c r="C80" t="str">
        <v>Job details page</v>
      </c>
      <c r="D80" t="str">
        <v>Smoke</v>
      </c>
      <c r="E80" t="str">
        <v>Critical</v>
      </c>
      <c r="F80" t="str">
        <v>Core</v>
      </c>
      <c r="G80">
        <f>COUNTIFS('Test Cases'!$B$5:$B$500,B80,'Test Cases'!$C$5:$C$500,C80)</f>
        <v>1</v>
      </c>
      <c r="H80">
        <f>COUNTIFS('Test Cases'!$B$5:$B$500,B80,'Test Cases'!$C$5:$C$500,C80,'Test Cases'!$L$5:$L$500,"&lt;&gt;Not Run")</f>
        <v>0</v>
      </c>
      <c r="I80">
        <f>COUNTIFS('Test Cases'!$B$5:$B$500,B80,'Test Cases'!$C$5:$C$500,C80,'Test Cases'!$L$5:$L$500,"Pass")</f>
        <v>0</v>
      </c>
      <c r="J80">
        <f>COUNTIFS('Test Cases'!$B$5:$B$500,B80,'Test Cases'!$C$5:$C$500,C80,'Test Cases'!$L$5:$L$500,"Fail")</f>
        <v>0</v>
      </c>
      <c r="K80">
        <f>COUNTIFS('Test Cases'!$B$5:$B$500,B80,'Test Cases'!$C$5:$C$500,C80,'Test Cases'!$L$5:$L$500,"Blocked")</f>
        <v>0</v>
      </c>
    </row>
    <row r="81">
      <c r="A81" t="str">
        <v>F-077</v>
      </c>
      <c r="B81" t="str">
        <v>Job Listing</v>
      </c>
      <c r="C81" t="str">
        <v>Job description rendering</v>
      </c>
      <c r="D81" t="str">
        <v>Functional</v>
      </c>
      <c r="E81" t="str">
        <v>High</v>
      </c>
      <c r="F81" t="str">
        <v>Core</v>
      </c>
      <c r="G81">
        <f>COUNTIFS('Test Cases'!$B$5:$B$500,B81,'Test Cases'!$C$5:$C$500,C81)</f>
        <v>1</v>
      </c>
      <c r="H81">
        <f>COUNTIFS('Test Cases'!$B$5:$B$500,B81,'Test Cases'!$C$5:$C$500,C81,'Test Cases'!$L$5:$L$500,"&lt;&gt;Not Run")</f>
        <v>0</v>
      </c>
      <c r="I81">
        <f>COUNTIFS('Test Cases'!$B$5:$B$500,B81,'Test Cases'!$C$5:$C$500,C81,'Test Cases'!$L$5:$L$500,"Pass")</f>
        <v>0</v>
      </c>
      <c r="J81">
        <f>COUNTIFS('Test Cases'!$B$5:$B$500,B81,'Test Cases'!$C$5:$C$500,C81,'Test Cases'!$L$5:$L$500,"Fail")</f>
        <v>0</v>
      </c>
      <c r="K81">
        <f>COUNTIFS('Test Cases'!$B$5:$B$500,B81,'Test Cases'!$C$5:$C$500,C81,'Test Cases'!$L$5:$L$500,"Blocked")</f>
        <v>0</v>
      </c>
    </row>
    <row r="82">
      <c r="A82" t="str">
        <v>F-078</v>
      </c>
      <c r="B82" t="str">
        <v>Job Listing</v>
      </c>
      <c r="C82" t="str">
        <v>Missing optional field</v>
      </c>
      <c r="D82" t="str">
        <v>Negative</v>
      </c>
      <c r="E82" t="str">
        <v>Medium</v>
      </c>
      <c r="F82" t="str">
        <v>Core</v>
      </c>
      <c r="G82">
        <f>COUNTIFS('Test Cases'!$B$5:$B$500,B82,'Test Cases'!$C$5:$C$500,C82)</f>
        <v>1</v>
      </c>
      <c r="H82">
        <f>COUNTIFS('Test Cases'!$B$5:$B$500,B82,'Test Cases'!$C$5:$C$500,C82,'Test Cases'!$L$5:$L$500,"&lt;&gt;Not Run")</f>
        <v>0</v>
      </c>
      <c r="I82">
        <f>COUNTIFS('Test Cases'!$B$5:$B$500,B82,'Test Cases'!$C$5:$C$500,C82,'Test Cases'!$L$5:$L$500,"Pass")</f>
        <v>0</v>
      </c>
      <c r="J82">
        <f>COUNTIFS('Test Cases'!$B$5:$B$500,B82,'Test Cases'!$C$5:$C$500,C82,'Test Cases'!$L$5:$L$500,"Fail")</f>
        <v>0</v>
      </c>
      <c r="K82">
        <f>COUNTIFS('Test Cases'!$B$5:$B$500,B82,'Test Cases'!$C$5:$C$500,C82,'Test Cases'!$L$5:$L$500,"Blocked")</f>
        <v>0</v>
      </c>
    </row>
    <row r="83">
      <c r="A83" t="str">
        <v>F-079</v>
      </c>
      <c r="B83" t="str">
        <v>Job Listing</v>
      </c>
      <c r="C83" t="str">
        <v>Broken image/logo</v>
      </c>
      <c r="D83" t="str">
        <v>UI/UX</v>
      </c>
      <c r="E83" t="str">
        <v>Low</v>
      </c>
      <c r="F83" t="str">
        <v>Core</v>
      </c>
      <c r="G83">
        <f>COUNTIFS('Test Cases'!$B$5:$B$500,B83,'Test Cases'!$C$5:$C$500,C83)</f>
        <v>1</v>
      </c>
      <c r="H83">
        <f>COUNTIFS('Test Cases'!$B$5:$B$500,B83,'Test Cases'!$C$5:$C$500,C83,'Test Cases'!$L$5:$L$500,"&lt;&gt;Not Run")</f>
        <v>0</v>
      </c>
      <c r="I83">
        <f>COUNTIFS('Test Cases'!$B$5:$B$500,B83,'Test Cases'!$C$5:$C$500,C83,'Test Cases'!$L$5:$L$500,"Pass")</f>
        <v>0</v>
      </c>
      <c r="J83">
        <f>COUNTIFS('Test Cases'!$B$5:$B$500,B83,'Test Cases'!$C$5:$C$500,C83,'Test Cases'!$L$5:$L$500,"Fail")</f>
        <v>0</v>
      </c>
      <c r="K83">
        <f>COUNTIFS('Test Cases'!$B$5:$B$500,B83,'Test Cases'!$C$5:$C$500,C83,'Test Cases'!$L$5:$L$500,"Blocked")</f>
        <v>0</v>
      </c>
    </row>
    <row r="84">
      <c r="A84" t="str">
        <v>F-080</v>
      </c>
      <c r="B84" t="str">
        <v>Job Listing</v>
      </c>
      <c r="C84" t="str">
        <v>Job share</v>
      </c>
      <c r="D84" t="str">
        <v>Functional</v>
      </c>
      <c r="E84" t="str">
        <v>Low</v>
      </c>
      <c r="F84" t="str">
        <v>Core</v>
      </c>
      <c r="G84">
        <f>COUNTIFS('Test Cases'!$B$5:$B$500,B84,'Test Cases'!$C$5:$C$500,C84)</f>
        <v>1</v>
      </c>
      <c r="H84">
        <f>COUNTIFS('Test Cases'!$B$5:$B$500,B84,'Test Cases'!$C$5:$C$500,C84,'Test Cases'!$L$5:$L$500,"&lt;&gt;Not Run")</f>
        <v>0</v>
      </c>
      <c r="I84">
        <f>COUNTIFS('Test Cases'!$B$5:$B$500,B84,'Test Cases'!$C$5:$C$500,C84,'Test Cases'!$L$5:$L$500,"Pass")</f>
        <v>0</v>
      </c>
      <c r="J84">
        <f>COUNTIFS('Test Cases'!$B$5:$B$500,B84,'Test Cases'!$C$5:$C$500,C84,'Test Cases'!$L$5:$L$500,"Fail")</f>
        <v>0</v>
      </c>
      <c r="K84">
        <f>COUNTIFS('Test Cases'!$B$5:$B$500,B84,'Test Cases'!$C$5:$C$500,C84,'Test Cases'!$L$5:$L$500,"Blocked")</f>
        <v>0</v>
      </c>
    </row>
    <row r="85">
      <c r="A85" t="str">
        <v>F-081</v>
      </c>
      <c r="B85" t="str">
        <v>Job Listing</v>
      </c>
      <c r="C85" t="str">
        <v>Copy job URL</v>
      </c>
      <c r="D85" t="str">
        <v>Functional</v>
      </c>
      <c r="E85" t="str">
        <v>Low</v>
      </c>
      <c r="F85" t="str">
        <v>Core</v>
      </c>
      <c r="G85">
        <f>COUNTIFS('Test Cases'!$B$5:$B$500,B85,'Test Cases'!$C$5:$C$500,C85)</f>
        <v>1</v>
      </c>
      <c r="H85">
        <f>COUNTIFS('Test Cases'!$B$5:$B$500,B85,'Test Cases'!$C$5:$C$500,C85,'Test Cases'!$L$5:$L$500,"&lt;&gt;Not Run")</f>
        <v>0</v>
      </c>
      <c r="I85">
        <f>COUNTIFS('Test Cases'!$B$5:$B$500,B85,'Test Cases'!$C$5:$C$500,C85,'Test Cases'!$L$5:$L$500,"Pass")</f>
        <v>0</v>
      </c>
      <c r="J85">
        <f>COUNTIFS('Test Cases'!$B$5:$B$500,B85,'Test Cases'!$C$5:$C$500,C85,'Test Cases'!$L$5:$L$500,"Fail")</f>
        <v>0</v>
      </c>
      <c r="K85">
        <f>COUNTIFS('Test Cases'!$B$5:$B$500,B85,'Test Cases'!$C$5:$C$500,C85,'Test Cases'!$L$5:$L$500,"Blocked")</f>
        <v>0</v>
      </c>
    </row>
    <row r="86">
      <c r="A86" t="str">
        <v>F-082</v>
      </c>
      <c r="B86" t="str">
        <v>Job Listing</v>
      </c>
      <c r="C86" t="str">
        <v>Similar jobs relevance</v>
      </c>
      <c r="D86" t="str">
        <v>Functional</v>
      </c>
      <c r="E86" t="str">
        <v>Medium</v>
      </c>
      <c r="F86" t="str">
        <v>Core</v>
      </c>
      <c r="G86">
        <f>COUNTIFS('Test Cases'!$B$5:$B$500,B86,'Test Cases'!$C$5:$C$500,C86)</f>
        <v>1</v>
      </c>
      <c r="H86">
        <f>COUNTIFS('Test Cases'!$B$5:$B$500,B86,'Test Cases'!$C$5:$C$500,C86,'Test Cases'!$L$5:$L$500,"&lt;&gt;Not Run")</f>
        <v>0</v>
      </c>
      <c r="I86">
        <f>COUNTIFS('Test Cases'!$B$5:$B$500,B86,'Test Cases'!$C$5:$C$500,C86,'Test Cases'!$L$5:$L$500,"Pass")</f>
        <v>0</v>
      </c>
      <c r="J86">
        <f>COUNTIFS('Test Cases'!$B$5:$B$500,B86,'Test Cases'!$C$5:$C$500,C86,'Test Cases'!$L$5:$L$500,"Fail")</f>
        <v>0</v>
      </c>
      <c r="K86">
        <f>COUNTIFS('Test Cases'!$B$5:$B$500,B86,'Test Cases'!$C$5:$C$500,C86,'Test Cases'!$L$5:$L$500,"Blocked")</f>
        <v>0</v>
      </c>
    </row>
    <row r="87">
      <c r="A87" t="str">
        <v>F-083</v>
      </c>
      <c r="B87" t="str">
        <v>Job Listing</v>
      </c>
      <c r="C87" t="str">
        <v>Open direct job URL</v>
      </c>
      <c r="D87" t="str">
        <v>Functional</v>
      </c>
      <c r="E87" t="str">
        <v>High</v>
      </c>
      <c r="F87" t="str">
        <v>Core</v>
      </c>
      <c r="G87">
        <f>COUNTIFS('Test Cases'!$B$5:$B$500,B87,'Test Cases'!$C$5:$C$500,C87)</f>
        <v>1</v>
      </c>
      <c r="H87">
        <f>COUNTIFS('Test Cases'!$B$5:$B$500,B87,'Test Cases'!$C$5:$C$500,C87,'Test Cases'!$L$5:$L$500,"&lt;&gt;Not Run")</f>
        <v>0</v>
      </c>
      <c r="I87">
        <f>COUNTIFS('Test Cases'!$B$5:$B$500,B87,'Test Cases'!$C$5:$C$500,C87,'Test Cases'!$L$5:$L$500,"Pass")</f>
        <v>0</v>
      </c>
      <c r="J87">
        <f>COUNTIFS('Test Cases'!$B$5:$B$500,B87,'Test Cases'!$C$5:$C$500,C87,'Test Cases'!$L$5:$L$500,"Fail")</f>
        <v>0</v>
      </c>
      <c r="K87">
        <f>COUNTIFS('Test Cases'!$B$5:$B$500,B87,'Test Cases'!$C$5:$C$500,C87,'Test Cases'!$L$5:$L$500,"Blocked")</f>
        <v>0</v>
      </c>
    </row>
    <row r="88">
      <c r="A88" t="str">
        <v>F-084</v>
      </c>
      <c r="B88" t="str">
        <v>Job Listing</v>
      </c>
      <c r="C88" t="str">
        <v>Deleted job handling</v>
      </c>
      <c r="D88" t="str">
        <v>Negative</v>
      </c>
      <c r="E88" t="str">
        <v>High</v>
      </c>
      <c r="F88" t="str">
        <v>Core</v>
      </c>
      <c r="G88">
        <f>COUNTIFS('Test Cases'!$B$5:$B$500,B88,'Test Cases'!$C$5:$C$500,C88)</f>
        <v>1</v>
      </c>
      <c r="H88">
        <f>COUNTIFS('Test Cases'!$B$5:$B$500,B88,'Test Cases'!$C$5:$C$500,C88,'Test Cases'!$L$5:$L$500,"&lt;&gt;Not Run")</f>
        <v>0</v>
      </c>
      <c r="I88">
        <f>COUNTIFS('Test Cases'!$B$5:$B$500,B88,'Test Cases'!$C$5:$C$500,C88,'Test Cases'!$L$5:$L$500,"Pass")</f>
        <v>0</v>
      </c>
      <c r="J88">
        <f>COUNTIFS('Test Cases'!$B$5:$B$500,B88,'Test Cases'!$C$5:$C$500,C88,'Test Cases'!$L$5:$L$500,"Fail")</f>
        <v>0</v>
      </c>
      <c r="K88">
        <f>COUNTIFS('Test Cases'!$B$5:$B$500,B88,'Test Cases'!$C$5:$C$500,C88,'Test Cases'!$L$5:$L$500,"Blocked")</f>
        <v>0</v>
      </c>
    </row>
    <row r="89">
      <c r="A89" t="str">
        <v>F-085</v>
      </c>
      <c r="B89" t="str">
        <v>Job Listing</v>
      </c>
      <c r="C89" t="str">
        <v>Expired job status</v>
      </c>
      <c r="D89" t="str">
        <v>Functional</v>
      </c>
      <c r="E89" t="str">
        <v>Critical</v>
      </c>
      <c r="F89" t="str">
        <v>Core</v>
      </c>
      <c r="G89">
        <f>COUNTIFS('Test Cases'!$B$5:$B$500,B89,'Test Cases'!$C$5:$C$500,C89)</f>
        <v>1</v>
      </c>
      <c r="H89">
        <f>COUNTIFS('Test Cases'!$B$5:$B$500,B89,'Test Cases'!$C$5:$C$500,C89,'Test Cases'!$L$5:$L$500,"&lt;&gt;Not Run")</f>
        <v>0</v>
      </c>
      <c r="I89">
        <f>COUNTIFS('Test Cases'!$B$5:$B$500,B89,'Test Cases'!$C$5:$C$500,C89,'Test Cases'!$L$5:$L$500,"Pass")</f>
        <v>0</v>
      </c>
      <c r="J89">
        <f>COUNTIFS('Test Cases'!$B$5:$B$500,B89,'Test Cases'!$C$5:$C$500,C89,'Test Cases'!$L$5:$L$500,"Fail")</f>
        <v>0</v>
      </c>
      <c r="K89">
        <f>COUNTIFS('Test Cases'!$B$5:$B$500,B89,'Test Cases'!$C$5:$C$500,C89,'Test Cases'!$L$5:$L$500,"Blocked")</f>
        <v>0</v>
      </c>
    </row>
    <row r="90">
      <c r="A90" t="str">
        <v>F-086</v>
      </c>
      <c r="B90" t="str">
        <v>Job Listing</v>
      </c>
      <c r="C90" t="str">
        <v>Refresh job details</v>
      </c>
      <c r="D90" t="str">
        <v>Functional</v>
      </c>
      <c r="E90" t="str">
        <v>Medium</v>
      </c>
      <c r="F90" t="str">
        <v>Core</v>
      </c>
      <c r="G90">
        <f>COUNTIFS('Test Cases'!$B$5:$B$500,B90,'Test Cases'!$C$5:$C$500,C90)</f>
        <v>1</v>
      </c>
      <c r="H90">
        <f>COUNTIFS('Test Cases'!$B$5:$B$500,B90,'Test Cases'!$C$5:$C$500,C90,'Test Cases'!$L$5:$L$500,"&lt;&gt;Not Run")</f>
        <v>0</v>
      </c>
      <c r="I90">
        <f>COUNTIFS('Test Cases'!$B$5:$B$500,B90,'Test Cases'!$C$5:$C$500,C90,'Test Cases'!$L$5:$L$500,"Pass")</f>
        <v>0</v>
      </c>
      <c r="J90">
        <f>COUNTIFS('Test Cases'!$B$5:$B$500,B90,'Test Cases'!$C$5:$C$500,C90,'Test Cases'!$L$5:$L$500,"Fail")</f>
        <v>0</v>
      </c>
      <c r="K90">
        <f>COUNTIFS('Test Cases'!$B$5:$B$500,B90,'Test Cases'!$C$5:$C$500,C90,'Test Cases'!$L$5:$L$500,"Blocked")</f>
        <v>0</v>
      </c>
    </row>
    <row r="91">
      <c r="A91" t="str">
        <v>F-087</v>
      </c>
      <c r="B91" t="str">
        <v>Job Listing</v>
      </c>
      <c r="C91" t="str">
        <v>Job category classification</v>
      </c>
      <c r="D91" t="str">
        <v>Data Quality</v>
      </c>
      <c r="E91" t="str">
        <v>High</v>
      </c>
      <c r="F91" t="str">
        <v>Core</v>
      </c>
      <c r="G91">
        <f>COUNTIFS('Test Cases'!$B$5:$B$500,B91,'Test Cases'!$C$5:$C$500,C91)</f>
        <v>1</v>
      </c>
      <c r="H91">
        <f>COUNTIFS('Test Cases'!$B$5:$B$500,B91,'Test Cases'!$C$5:$C$500,C91,'Test Cases'!$L$5:$L$500,"&lt;&gt;Not Run")</f>
        <v>0</v>
      </c>
      <c r="I91">
        <f>COUNTIFS('Test Cases'!$B$5:$B$500,B91,'Test Cases'!$C$5:$C$500,C91,'Test Cases'!$L$5:$L$500,"Pass")</f>
        <v>0</v>
      </c>
      <c r="J91">
        <f>COUNTIFS('Test Cases'!$B$5:$B$500,B91,'Test Cases'!$C$5:$C$500,C91,'Test Cases'!$L$5:$L$500,"Fail")</f>
        <v>0</v>
      </c>
      <c r="K91">
        <f>COUNTIFS('Test Cases'!$B$5:$B$500,B91,'Test Cases'!$C$5:$C$500,C91,'Test Cases'!$L$5:$L$500,"Blocked")</f>
        <v>0</v>
      </c>
    </row>
    <row r="92">
      <c r="A92" t="str">
        <v>F-088</v>
      </c>
      <c r="B92" t="str">
        <v>Source/Data Integration</v>
      </c>
      <c r="C92" t="str">
        <v>Source record ingestion</v>
      </c>
      <c r="D92" t="str">
        <v>Integration</v>
      </c>
      <c r="E92" t="str">
        <v>Critical</v>
      </c>
      <c r="F92" t="str">
        <v>Core/Conditional</v>
      </c>
      <c r="G92">
        <f>COUNTIFS('Test Cases'!$B$5:$B$500,B92,'Test Cases'!$C$5:$C$500,C92)</f>
        <v>1</v>
      </c>
      <c r="H92">
        <f>COUNTIFS('Test Cases'!$B$5:$B$500,B92,'Test Cases'!$C$5:$C$500,C92,'Test Cases'!$L$5:$L$500,"&lt;&gt;Not Run")</f>
        <v>0</v>
      </c>
      <c r="I92">
        <f>COUNTIFS('Test Cases'!$B$5:$B$500,B92,'Test Cases'!$C$5:$C$500,C92,'Test Cases'!$L$5:$L$500,"Pass")</f>
        <v>0</v>
      </c>
      <c r="J92">
        <f>COUNTIFS('Test Cases'!$B$5:$B$500,B92,'Test Cases'!$C$5:$C$500,C92,'Test Cases'!$L$5:$L$500,"Fail")</f>
        <v>0</v>
      </c>
      <c r="K92">
        <f>COUNTIFS('Test Cases'!$B$5:$B$500,B92,'Test Cases'!$C$5:$C$500,C92,'Test Cases'!$L$5:$L$500,"Blocked")</f>
        <v>0</v>
      </c>
    </row>
    <row r="93">
      <c r="A93" t="str">
        <v>F-089</v>
      </c>
      <c r="B93" t="str">
        <v>Source/Data Integration</v>
      </c>
      <c r="C93" t="str">
        <v>Missing source field</v>
      </c>
      <c r="D93" t="str">
        <v>Data Quality</v>
      </c>
      <c r="E93" t="str">
        <v>High</v>
      </c>
      <c r="F93" t="str">
        <v>Core/Conditional</v>
      </c>
      <c r="G93">
        <f>COUNTIFS('Test Cases'!$B$5:$B$500,B93,'Test Cases'!$C$5:$C$500,C93)</f>
        <v>1</v>
      </c>
      <c r="H93">
        <f>COUNTIFS('Test Cases'!$B$5:$B$500,B93,'Test Cases'!$C$5:$C$500,C93,'Test Cases'!$L$5:$L$500,"&lt;&gt;Not Run")</f>
        <v>0</v>
      </c>
      <c r="I93">
        <f>COUNTIFS('Test Cases'!$B$5:$B$500,B93,'Test Cases'!$C$5:$C$500,C93,'Test Cases'!$L$5:$L$500,"Pass")</f>
        <v>0</v>
      </c>
      <c r="J93">
        <f>COUNTIFS('Test Cases'!$B$5:$B$500,B93,'Test Cases'!$C$5:$C$500,C93,'Test Cases'!$L$5:$L$500,"Fail")</f>
        <v>0</v>
      </c>
      <c r="K93">
        <f>COUNTIFS('Test Cases'!$B$5:$B$500,B93,'Test Cases'!$C$5:$C$500,C93,'Test Cases'!$L$5:$L$500,"Blocked")</f>
        <v>0</v>
      </c>
    </row>
    <row r="94">
      <c r="A94" t="str">
        <v>F-090</v>
      </c>
      <c r="B94" t="str">
        <v>Source/Data Integration</v>
      </c>
      <c r="C94" t="str">
        <v>Malformed source data</v>
      </c>
      <c r="D94" t="str">
        <v>Negative</v>
      </c>
      <c r="E94" t="str">
        <v>High</v>
      </c>
      <c r="F94" t="str">
        <v>Core/Conditional</v>
      </c>
      <c r="G94">
        <f>COUNTIFS('Test Cases'!$B$5:$B$500,B94,'Test Cases'!$C$5:$C$500,C94)</f>
        <v>1</v>
      </c>
      <c r="H94">
        <f>COUNTIFS('Test Cases'!$B$5:$B$500,B94,'Test Cases'!$C$5:$C$500,C94,'Test Cases'!$L$5:$L$500,"&lt;&gt;Not Run")</f>
        <v>0</v>
      </c>
      <c r="I94">
        <f>COUNTIFS('Test Cases'!$B$5:$B$500,B94,'Test Cases'!$C$5:$C$500,C94,'Test Cases'!$L$5:$L$500,"Pass")</f>
        <v>0</v>
      </c>
      <c r="J94">
        <f>COUNTIFS('Test Cases'!$B$5:$B$500,B94,'Test Cases'!$C$5:$C$500,C94,'Test Cases'!$L$5:$L$500,"Fail")</f>
        <v>0</v>
      </c>
      <c r="K94">
        <f>COUNTIFS('Test Cases'!$B$5:$B$500,B94,'Test Cases'!$C$5:$C$500,C94,'Test Cases'!$L$5:$L$500,"Blocked")</f>
        <v>0</v>
      </c>
    </row>
    <row r="95">
      <c r="A95" t="str">
        <v>F-091</v>
      </c>
      <c r="B95" t="str">
        <v>Source/Data Integration</v>
      </c>
      <c r="C95" t="str">
        <v>Source unavailable</v>
      </c>
      <c r="D95" t="str">
        <v>Integration</v>
      </c>
      <c r="E95" t="str">
        <v>High</v>
      </c>
      <c r="F95" t="str">
        <v>Core/Conditional</v>
      </c>
      <c r="G95">
        <f>COUNTIFS('Test Cases'!$B$5:$B$500,B95,'Test Cases'!$C$5:$C$500,C95)</f>
        <v>1</v>
      </c>
      <c r="H95">
        <f>COUNTIFS('Test Cases'!$B$5:$B$500,B95,'Test Cases'!$C$5:$C$500,C95,'Test Cases'!$L$5:$L$500,"&lt;&gt;Not Run")</f>
        <v>0</v>
      </c>
      <c r="I95">
        <f>COUNTIFS('Test Cases'!$B$5:$B$500,B95,'Test Cases'!$C$5:$C$500,C95,'Test Cases'!$L$5:$L$500,"Pass")</f>
        <v>0</v>
      </c>
      <c r="J95">
        <f>COUNTIFS('Test Cases'!$B$5:$B$500,B95,'Test Cases'!$C$5:$C$500,C95,'Test Cases'!$L$5:$L$500,"Fail")</f>
        <v>0</v>
      </c>
      <c r="K95">
        <f>COUNTIFS('Test Cases'!$B$5:$B$500,B95,'Test Cases'!$C$5:$C$500,C95,'Test Cases'!$L$5:$L$500,"Blocked")</f>
        <v>0</v>
      </c>
    </row>
    <row r="96">
      <c r="A96" t="str">
        <v>F-092</v>
      </c>
      <c r="B96" t="str">
        <v>Source/Data Integration</v>
      </c>
      <c r="C96" t="str">
        <v>Stale listing freshness</v>
      </c>
      <c r="D96" t="str">
        <v>Data Quality</v>
      </c>
      <c r="E96" t="str">
        <v>Critical</v>
      </c>
      <c r="F96" t="str">
        <v>Core/Conditional</v>
      </c>
      <c r="G96">
        <f>COUNTIFS('Test Cases'!$B$5:$B$500,B96,'Test Cases'!$C$5:$C$500,C96)</f>
        <v>1</v>
      </c>
      <c r="H96">
        <f>COUNTIFS('Test Cases'!$B$5:$B$500,B96,'Test Cases'!$C$5:$C$500,C96,'Test Cases'!$L$5:$L$500,"&lt;&gt;Not Run")</f>
        <v>0</v>
      </c>
      <c r="I96">
        <f>COUNTIFS('Test Cases'!$B$5:$B$500,B96,'Test Cases'!$C$5:$C$500,C96,'Test Cases'!$L$5:$L$500,"Pass")</f>
        <v>0</v>
      </c>
      <c r="J96">
        <f>COUNTIFS('Test Cases'!$B$5:$B$500,B96,'Test Cases'!$C$5:$C$500,C96,'Test Cases'!$L$5:$L$500,"Fail")</f>
        <v>0</v>
      </c>
      <c r="K96">
        <f>COUNTIFS('Test Cases'!$B$5:$B$500,B96,'Test Cases'!$C$5:$C$500,C96,'Test Cases'!$L$5:$L$500,"Blocked")</f>
        <v>0</v>
      </c>
    </row>
    <row r="97">
      <c r="A97" t="str">
        <v>F-093</v>
      </c>
      <c r="B97" t="str">
        <v>Source/Data Integration</v>
      </c>
      <c r="C97" t="str">
        <v>Duplicate source listing</v>
      </c>
      <c r="D97" t="str">
        <v>Data Quality</v>
      </c>
      <c r="E97" t="str">
        <v>High</v>
      </c>
      <c r="F97" t="str">
        <v>Core/Conditional</v>
      </c>
      <c r="G97">
        <f>COUNTIFS('Test Cases'!$B$5:$B$500,B97,'Test Cases'!$C$5:$C$500,C97)</f>
        <v>1</v>
      </c>
      <c r="H97">
        <f>COUNTIFS('Test Cases'!$B$5:$B$500,B97,'Test Cases'!$C$5:$C$500,C97,'Test Cases'!$L$5:$L$500,"&lt;&gt;Not Run")</f>
        <v>0</v>
      </c>
      <c r="I97">
        <f>COUNTIFS('Test Cases'!$B$5:$B$500,B97,'Test Cases'!$C$5:$C$500,C97,'Test Cases'!$L$5:$L$500,"Pass")</f>
        <v>0</v>
      </c>
      <c r="J97">
        <f>COUNTIFS('Test Cases'!$B$5:$B$500,B97,'Test Cases'!$C$5:$C$500,C97,'Test Cases'!$L$5:$L$500,"Fail")</f>
        <v>0</v>
      </c>
      <c r="K97">
        <f>COUNTIFS('Test Cases'!$B$5:$B$500,B97,'Test Cases'!$C$5:$C$500,C97,'Test Cases'!$L$5:$L$500,"Blocked")</f>
        <v>0</v>
      </c>
    </row>
    <row r="98">
      <c r="A98" t="str">
        <v>F-094</v>
      </c>
      <c r="B98" t="str">
        <v>Source/Data Integration</v>
      </c>
      <c r="C98" t="str">
        <v>Same job with changed URL</v>
      </c>
      <c r="D98" t="str">
        <v>Integration</v>
      </c>
      <c r="E98" t="str">
        <v>High</v>
      </c>
      <c r="F98" t="str">
        <v>Core/Conditional</v>
      </c>
      <c r="G98">
        <f>COUNTIFS('Test Cases'!$B$5:$B$500,B98,'Test Cases'!$C$5:$C$500,C98)</f>
        <v>1</v>
      </c>
      <c r="H98">
        <f>COUNTIFS('Test Cases'!$B$5:$B$500,B98,'Test Cases'!$C$5:$C$500,C98,'Test Cases'!$L$5:$L$500,"&lt;&gt;Not Run")</f>
        <v>0</v>
      </c>
      <c r="I98">
        <f>COUNTIFS('Test Cases'!$B$5:$B$500,B98,'Test Cases'!$C$5:$C$500,C98,'Test Cases'!$L$5:$L$500,"Pass")</f>
        <v>0</v>
      </c>
      <c r="J98">
        <f>COUNTIFS('Test Cases'!$B$5:$B$500,B98,'Test Cases'!$C$5:$C$500,C98,'Test Cases'!$L$5:$L$500,"Fail")</f>
        <v>0</v>
      </c>
      <c r="K98">
        <f>COUNTIFS('Test Cases'!$B$5:$B$500,B98,'Test Cases'!$C$5:$C$500,C98,'Test Cases'!$L$5:$L$500,"Blocked")</f>
        <v>0</v>
      </c>
    </row>
    <row r="99">
      <c r="A99" t="str">
        <v>F-095</v>
      </c>
      <c r="B99" t="str">
        <v>Source/Data Integration</v>
      </c>
      <c r="C99" t="str">
        <v>Source field mapping</v>
      </c>
      <c r="D99" t="str">
        <v>Data Quality</v>
      </c>
      <c r="E99" t="str">
        <v>High</v>
      </c>
      <c r="F99" t="str">
        <v>Core/Conditional</v>
      </c>
      <c r="G99">
        <f>COUNTIFS('Test Cases'!$B$5:$B$500,B99,'Test Cases'!$C$5:$C$500,C99)</f>
        <v>1</v>
      </c>
      <c r="H99">
        <f>COUNTIFS('Test Cases'!$B$5:$B$500,B99,'Test Cases'!$C$5:$C$500,C99,'Test Cases'!$L$5:$L$500,"&lt;&gt;Not Run")</f>
        <v>0</v>
      </c>
      <c r="I99">
        <f>COUNTIFS('Test Cases'!$B$5:$B$500,B99,'Test Cases'!$C$5:$C$500,C99,'Test Cases'!$L$5:$L$500,"Pass")</f>
        <v>0</v>
      </c>
      <c r="J99">
        <f>COUNTIFS('Test Cases'!$B$5:$B$500,B99,'Test Cases'!$C$5:$C$500,C99,'Test Cases'!$L$5:$L$500,"Fail")</f>
        <v>0</v>
      </c>
      <c r="K99">
        <f>COUNTIFS('Test Cases'!$B$5:$B$500,B99,'Test Cases'!$C$5:$C$500,C99,'Test Cases'!$L$5:$L$500,"Blocked")</f>
        <v>0</v>
      </c>
    </row>
    <row r="100">
      <c r="A100" t="str">
        <v>F-096</v>
      </c>
      <c r="B100" t="str">
        <v>Source/Data Integration</v>
      </c>
      <c r="C100" t="str">
        <v>HTML stripping in imported description</v>
      </c>
      <c r="D100" t="str">
        <v>Data Quality</v>
      </c>
      <c r="E100" t="str">
        <v>Medium</v>
      </c>
      <c r="F100" t="str">
        <v>Core/Conditional</v>
      </c>
      <c r="G100">
        <f>COUNTIFS('Test Cases'!$B$5:$B$500,B100,'Test Cases'!$C$5:$C$500,C100)</f>
        <v>1</v>
      </c>
      <c r="H100">
        <f>COUNTIFS('Test Cases'!$B$5:$B$500,B100,'Test Cases'!$C$5:$C$500,C100,'Test Cases'!$L$5:$L$500,"&lt;&gt;Not Run")</f>
        <v>0</v>
      </c>
      <c r="I100">
        <f>COUNTIFS('Test Cases'!$B$5:$B$500,B100,'Test Cases'!$C$5:$C$500,C100,'Test Cases'!$L$5:$L$500,"Pass")</f>
        <v>0</v>
      </c>
      <c r="J100">
        <f>COUNTIFS('Test Cases'!$B$5:$B$500,B100,'Test Cases'!$C$5:$C$500,C100,'Test Cases'!$L$5:$L$500,"Fail")</f>
        <v>0</v>
      </c>
      <c r="K100">
        <f>COUNTIFS('Test Cases'!$B$5:$B$500,B100,'Test Cases'!$C$5:$C$500,C100,'Test Cases'!$L$5:$L$500,"Blocked")</f>
        <v>0</v>
      </c>
    </row>
    <row r="101">
      <c r="A101" t="str">
        <v>F-097</v>
      </c>
      <c r="B101" t="str">
        <v>Source/Data Integration</v>
      </c>
      <c r="C101" t="str">
        <v>Source character encoding</v>
      </c>
      <c r="D101" t="str">
        <v>Data Quality</v>
      </c>
      <c r="E101" t="str">
        <v>Medium</v>
      </c>
      <c r="F101" t="str">
        <v>Core/Conditional</v>
      </c>
      <c r="G101">
        <f>COUNTIFS('Test Cases'!$B$5:$B$500,B101,'Test Cases'!$C$5:$C$500,C101)</f>
        <v>1</v>
      </c>
      <c r="H101">
        <f>COUNTIFS('Test Cases'!$B$5:$B$500,B101,'Test Cases'!$C$5:$C$500,C101,'Test Cases'!$L$5:$L$500,"&lt;&gt;Not Run")</f>
        <v>0</v>
      </c>
      <c r="I101">
        <f>COUNTIFS('Test Cases'!$B$5:$B$500,B101,'Test Cases'!$C$5:$C$500,C101,'Test Cases'!$L$5:$L$500,"Pass")</f>
        <v>0</v>
      </c>
      <c r="J101">
        <f>COUNTIFS('Test Cases'!$B$5:$B$500,B101,'Test Cases'!$C$5:$C$500,C101,'Test Cases'!$L$5:$L$500,"Fail")</f>
        <v>0</v>
      </c>
      <c r="K101">
        <f>COUNTIFS('Test Cases'!$B$5:$B$500,B101,'Test Cases'!$C$5:$C$500,C101,'Test Cases'!$L$5:$L$500,"Blocked")</f>
        <v>0</v>
      </c>
    </row>
    <row r="102">
      <c r="A102" t="str">
        <v>F-098</v>
      </c>
      <c r="B102" t="str">
        <v>Source/Data Integration</v>
      </c>
      <c r="C102" t="str">
        <v>Timezone/date conversion</v>
      </c>
      <c r="D102" t="str">
        <v>Boundary</v>
      </c>
      <c r="E102" t="str">
        <v>High</v>
      </c>
      <c r="F102" t="str">
        <v>Core/Conditional</v>
      </c>
      <c r="G102">
        <f>COUNTIFS('Test Cases'!$B$5:$B$500,B102,'Test Cases'!$C$5:$C$500,C102)</f>
        <v>1</v>
      </c>
      <c r="H102">
        <f>COUNTIFS('Test Cases'!$B$5:$B$500,B102,'Test Cases'!$C$5:$C$500,C102,'Test Cases'!$L$5:$L$500,"&lt;&gt;Not Run")</f>
        <v>0</v>
      </c>
      <c r="I102">
        <f>COUNTIFS('Test Cases'!$B$5:$B$500,B102,'Test Cases'!$C$5:$C$500,C102,'Test Cases'!$L$5:$L$500,"Pass")</f>
        <v>0</v>
      </c>
      <c r="J102">
        <f>COUNTIFS('Test Cases'!$B$5:$B$500,B102,'Test Cases'!$C$5:$C$500,C102,'Test Cases'!$L$5:$L$500,"Fail")</f>
        <v>0</v>
      </c>
      <c r="K102">
        <f>COUNTIFS('Test Cases'!$B$5:$B$500,B102,'Test Cases'!$C$5:$C$500,C102,'Test Cases'!$L$5:$L$500,"Blocked")</f>
        <v>0</v>
      </c>
    </row>
    <row r="103">
      <c r="A103" t="str">
        <v>F-099</v>
      </c>
      <c r="B103" t="str">
        <v>Source/Data Integration</v>
      </c>
      <c r="C103" t="str">
        <v>Government source freshness</v>
      </c>
      <c r="D103" t="str">
        <v>Critical</v>
      </c>
      <c r="E103" t="str">
        <v>Critical</v>
      </c>
      <c r="F103" t="str">
        <v>Core/Conditional</v>
      </c>
      <c r="G103">
        <f>COUNTIFS('Test Cases'!$B$5:$B$500,B103,'Test Cases'!$C$5:$C$500,C103)</f>
        <v>1</v>
      </c>
      <c r="H103">
        <f>COUNTIFS('Test Cases'!$B$5:$B$500,B103,'Test Cases'!$C$5:$C$500,C103,'Test Cases'!$L$5:$L$500,"&lt;&gt;Not Run")</f>
        <v>0</v>
      </c>
      <c r="I103">
        <f>COUNTIFS('Test Cases'!$B$5:$B$500,B103,'Test Cases'!$C$5:$C$500,C103,'Test Cases'!$L$5:$L$500,"Pass")</f>
        <v>0</v>
      </c>
      <c r="J103">
        <f>COUNTIFS('Test Cases'!$B$5:$B$500,B103,'Test Cases'!$C$5:$C$500,C103,'Test Cases'!$L$5:$L$500,"Fail")</f>
        <v>0</v>
      </c>
      <c r="K103">
        <f>COUNTIFS('Test Cases'!$B$5:$B$500,B103,'Test Cases'!$C$5:$C$500,C103,'Test Cases'!$L$5:$L$500,"Blocked")</f>
        <v>0</v>
      </c>
    </row>
    <row r="104">
      <c r="A104" t="str">
        <v>F-100</v>
      </c>
      <c r="B104" t="str">
        <v>Source/Data Integration</v>
      </c>
      <c r="C104" t="str">
        <v>Source retry behavior</v>
      </c>
      <c r="D104" t="str">
        <v>Integration</v>
      </c>
      <c r="E104" t="str">
        <v>Medium</v>
      </c>
      <c r="F104" t="str">
        <v>Core/Conditional</v>
      </c>
      <c r="G104">
        <f>COUNTIFS('Test Cases'!$B$5:$B$500,B104,'Test Cases'!$C$5:$C$500,C104)</f>
        <v>1</v>
      </c>
      <c r="H104">
        <f>COUNTIFS('Test Cases'!$B$5:$B$500,B104,'Test Cases'!$C$5:$C$500,C104,'Test Cases'!$L$5:$L$500,"&lt;&gt;Not Run")</f>
        <v>0</v>
      </c>
      <c r="I104">
        <f>COUNTIFS('Test Cases'!$B$5:$B$500,B104,'Test Cases'!$C$5:$C$500,C104,'Test Cases'!$L$5:$L$500,"Pass")</f>
        <v>0</v>
      </c>
      <c r="J104">
        <f>COUNTIFS('Test Cases'!$B$5:$B$500,B104,'Test Cases'!$C$5:$C$500,C104,'Test Cases'!$L$5:$L$500,"Fail")</f>
        <v>0</v>
      </c>
      <c r="K104">
        <f>COUNTIFS('Test Cases'!$B$5:$B$500,B104,'Test Cases'!$C$5:$C$500,C104,'Test Cases'!$L$5:$L$500,"Blocked")</f>
        <v>0</v>
      </c>
    </row>
    <row r="105">
      <c r="A105" t="str">
        <v>F-101</v>
      </c>
      <c r="B105" t="str">
        <v>Source/Data Integration</v>
      </c>
      <c r="C105" t="str">
        <v>Partial source batch failure</v>
      </c>
      <c r="D105" t="str">
        <v>Integration</v>
      </c>
      <c r="E105" t="str">
        <v>High</v>
      </c>
      <c r="F105" t="str">
        <v>Core/Conditional</v>
      </c>
      <c r="G105">
        <f>COUNTIFS('Test Cases'!$B$5:$B$500,B105,'Test Cases'!$C$5:$C$500,C105)</f>
        <v>1</v>
      </c>
      <c r="H105">
        <f>COUNTIFS('Test Cases'!$B$5:$B$500,B105,'Test Cases'!$C$5:$C$500,C105,'Test Cases'!$L$5:$L$500,"&lt;&gt;Not Run")</f>
        <v>0</v>
      </c>
      <c r="I105">
        <f>COUNTIFS('Test Cases'!$B$5:$B$500,B105,'Test Cases'!$C$5:$C$500,C105,'Test Cases'!$L$5:$L$500,"Pass")</f>
        <v>0</v>
      </c>
      <c r="J105">
        <f>COUNTIFS('Test Cases'!$B$5:$B$500,B105,'Test Cases'!$C$5:$C$500,C105,'Test Cases'!$L$5:$L$500,"Fail")</f>
        <v>0</v>
      </c>
      <c r="K105">
        <f>COUNTIFS('Test Cases'!$B$5:$B$500,B105,'Test Cases'!$C$5:$C$500,C105,'Test Cases'!$L$5:$L$500,"Blocked")</f>
        <v>0</v>
      </c>
    </row>
    <row r="106">
      <c r="A106" t="str">
        <v>F-102</v>
      </c>
      <c r="B106" t="str">
        <v>Source/Data Integration</v>
      </c>
      <c r="C106" t="str">
        <v>API response mapping</v>
      </c>
      <c r="D106" t="str">
        <v>Integration</v>
      </c>
      <c r="E106" t="str">
        <v>High</v>
      </c>
      <c r="F106" t="str">
        <v>Core/Conditional</v>
      </c>
      <c r="G106">
        <f>COUNTIFS('Test Cases'!$B$5:$B$500,B106,'Test Cases'!$C$5:$C$500,C106)</f>
        <v>1</v>
      </c>
      <c r="H106">
        <f>COUNTIFS('Test Cases'!$B$5:$B$500,B106,'Test Cases'!$C$5:$C$500,C106,'Test Cases'!$L$5:$L$500,"&lt;&gt;Not Run")</f>
        <v>0</v>
      </c>
      <c r="I106">
        <f>COUNTIFS('Test Cases'!$B$5:$B$500,B106,'Test Cases'!$C$5:$C$500,C106,'Test Cases'!$L$5:$L$500,"Pass")</f>
        <v>0</v>
      </c>
      <c r="J106">
        <f>COUNTIFS('Test Cases'!$B$5:$B$500,B106,'Test Cases'!$C$5:$C$500,C106,'Test Cases'!$L$5:$L$500,"Fail")</f>
        <v>0</v>
      </c>
      <c r="K106">
        <f>COUNTIFS('Test Cases'!$B$5:$B$500,B106,'Test Cases'!$C$5:$C$500,C106,'Test Cases'!$L$5:$L$500,"Blocked")</f>
        <v>0</v>
      </c>
    </row>
    <row r="107">
      <c r="A107" t="str">
        <v>F-103</v>
      </c>
      <c r="B107" t="str">
        <v>Source/Data Integration</v>
      </c>
      <c r="C107" t="str">
        <v>API error response handling</v>
      </c>
      <c r="D107" t="str">
        <v>Integration</v>
      </c>
      <c r="E107" t="str">
        <v>High</v>
      </c>
      <c r="F107" t="str">
        <v>Core/Conditional</v>
      </c>
      <c r="G107">
        <f>COUNTIFS('Test Cases'!$B$5:$B$500,B107,'Test Cases'!$C$5:$C$500,C107)</f>
        <v>1</v>
      </c>
      <c r="H107">
        <f>COUNTIFS('Test Cases'!$B$5:$B$500,B107,'Test Cases'!$C$5:$C$500,C107,'Test Cases'!$L$5:$L$500,"&lt;&gt;Not Run")</f>
        <v>0</v>
      </c>
      <c r="I107">
        <f>COUNTIFS('Test Cases'!$B$5:$B$500,B107,'Test Cases'!$C$5:$C$500,C107,'Test Cases'!$L$5:$L$500,"Pass")</f>
        <v>0</v>
      </c>
      <c r="J107">
        <f>COUNTIFS('Test Cases'!$B$5:$B$500,B107,'Test Cases'!$C$5:$C$500,C107,'Test Cases'!$L$5:$L$500,"Fail")</f>
        <v>0</v>
      </c>
      <c r="K107">
        <f>COUNTIFS('Test Cases'!$B$5:$B$500,B107,'Test Cases'!$C$5:$C$500,C107,'Test Cases'!$L$5:$L$500,"Blocked")</f>
        <v>0</v>
      </c>
    </row>
    <row r="108">
      <c r="A108" t="str">
        <v>F-104</v>
      </c>
      <c r="B108" t="str">
        <v>Source/Data Integration</v>
      </c>
      <c r="C108" t="str">
        <v>Pagination from source</v>
      </c>
      <c r="D108" t="str">
        <v>Integration</v>
      </c>
      <c r="E108" t="str">
        <v>Medium</v>
      </c>
      <c r="F108" t="str">
        <v>Core/Conditional</v>
      </c>
      <c r="G108">
        <f>COUNTIFS('Test Cases'!$B$5:$B$500,B108,'Test Cases'!$C$5:$C$500,C108)</f>
        <v>1</v>
      </c>
      <c r="H108">
        <f>COUNTIFS('Test Cases'!$B$5:$B$500,B108,'Test Cases'!$C$5:$C$500,C108,'Test Cases'!$L$5:$L$500,"&lt;&gt;Not Run")</f>
        <v>0</v>
      </c>
      <c r="I108">
        <f>COUNTIFS('Test Cases'!$B$5:$B$500,B108,'Test Cases'!$C$5:$C$500,C108,'Test Cases'!$L$5:$L$500,"Pass")</f>
        <v>0</v>
      </c>
      <c r="J108">
        <f>COUNTIFS('Test Cases'!$B$5:$B$500,B108,'Test Cases'!$C$5:$C$500,C108,'Test Cases'!$L$5:$L$500,"Fail")</f>
        <v>0</v>
      </c>
      <c r="K108">
        <f>COUNTIFS('Test Cases'!$B$5:$B$500,B108,'Test Cases'!$C$5:$C$500,C108,'Test Cases'!$L$5:$L$500,"Blocked")</f>
        <v>0</v>
      </c>
    </row>
    <row r="109">
      <c r="A109" t="str">
        <v>F-105</v>
      </c>
      <c r="B109" t="str">
        <v>Source/Data Integration</v>
      </c>
      <c r="C109" t="str">
        <v>Rate limit handling</v>
      </c>
      <c r="D109" t="str">
        <v>Integration</v>
      </c>
      <c r="E109" t="str">
        <v>Medium</v>
      </c>
      <c r="F109" t="str">
        <v>Core/Conditional</v>
      </c>
      <c r="G109">
        <f>COUNTIFS('Test Cases'!$B$5:$B$500,B109,'Test Cases'!$C$5:$C$500,C109)</f>
        <v>1</v>
      </c>
      <c r="H109">
        <f>COUNTIFS('Test Cases'!$B$5:$B$500,B109,'Test Cases'!$C$5:$C$500,C109,'Test Cases'!$L$5:$L$500,"&lt;&gt;Not Run")</f>
        <v>0</v>
      </c>
      <c r="I109">
        <f>COUNTIFS('Test Cases'!$B$5:$B$500,B109,'Test Cases'!$C$5:$C$500,C109,'Test Cases'!$L$5:$L$500,"Pass")</f>
        <v>0</v>
      </c>
      <c r="J109">
        <f>COUNTIFS('Test Cases'!$B$5:$B$500,B109,'Test Cases'!$C$5:$C$500,C109,'Test Cases'!$L$5:$L$500,"Fail")</f>
        <v>0</v>
      </c>
      <c r="K109">
        <f>COUNTIFS('Test Cases'!$B$5:$B$500,B109,'Test Cases'!$C$5:$C$500,C109,'Test Cases'!$L$5:$L$500,"Blocked")</f>
        <v>0</v>
      </c>
    </row>
    <row r="110">
      <c r="A110" t="str">
        <v>F-106</v>
      </c>
      <c r="B110" t="str">
        <v>Source/Data Integration</v>
      </c>
      <c r="C110" t="str">
        <v>Canonical source precedence</v>
      </c>
      <c r="D110" t="str">
        <v>Data Quality</v>
      </c>
      <c r="E110" t="str">
        <v>High</v>
      </c>
      <c r="F110" t="str">
        <v>Core/Conditional</v>
      </c>
      <c r="G110">
        <f>COUNTIFS('Test Cases'!$B$5:$B$500,B110,'Test Cases'!$C$5:$C$500,C110)</f>
        <v>1</v>
      </c>
      <c r="H110">
        <f>COUNTIFS('Test Cases'!$B$5:$B$500,B110,'Test Cases'!$C$5:$C$500,C110,'Test Cases'!$L$5:$L$500,"&lt;&gt;Not Run")</f>
        <v>0</v>
      </c>
      <c r="I110">
        <f>COUNTIFS('Test Cases'!$B$5:$B$500,B110,'Test Cases'!$C$5:$C$500,C110,'Test Cases'!$L$5:$L$500,"Pass")</f>
        <v>0</v>
      </c>
      <c r="J110">
        <f>COUNTIFS('Test Cases'!$B$5:$B$500,B110,'Test Cases'!$C$5:$C$500,C110,'Test Cases'!$L$5:$L$500,"Fail")</f>
        <v>0</v>
      </c>
      <c r="K110">
        <f>COUNTIFS('Test Cases'!$B$5:$B$500,B110,'Test Cases'!$C$5:$C$500,C110,'Test Cases'!$L$5:$L$500,"Blocked")</f>
        <v>0</v>
      </c>
    </row>
    <row r="111">
      <c r="A111" t="str">
        <v>F-107</v>
      </c>
      <c r="B111" t="str">
        <v>Source/Data Integration</v>
      </c>
      <c r="C111" t="str">
        <v>Source attribution</v>
      </c>
      <c r="D111" t="str">
        <v>Functional</v>
      </c>
      <c r="E111" t="str">
        <v>Medium</v>
      </c>
      <c r="F111" t="str">
        <v>Core/Conditional</v>
      </c>
      <c r="G111">
        <f>COUNTIFS('Test Cases'!$B$5:$B$500,B111,'Test Cases'!$C$5:$C$500,C111)</f>
        <v>1</v>
      </c>
      <c r="H111">
        <f>COUNTIFS('Test Cases'!$B$5:$B$500,B111,'Test Cases'!$C$5:$C$500,C111,'Test Cases'!$L$5:$L$500,"&lt;&gt;Not Run")</f>
        <v>0</v>
      </c>
      <c r="I111">
        <f>COUNTIFS('Test Cases'!$B$5:$B$500,B111,'Test Cases'!$C$5:$C$500,C111,'Test Cases'!$L$5:$L$500,"Pass")</f>
        <v>0</v>
      </c>
      <c r="J111">
        <f>COUNTIFS('Test Cases'!$B$5:$B$500,B111,'Test Cases'!$C$5:$C$500,C111,'Test Cases'!$L$5:$L$500,"Fail")</f>
        <v>0</v>
      </c>
      <c r="K111">
        <f>COUNTIFS('Test Cases'!$B$5:$B$500,B111,'Test Cases'!$C$5:$C$500,C111,'Test Cases'!$L$5:$L$500,"Blocked")</f>
        <v>0</v>
      </c>
    </row>
    <row r="112">
      <c r="A112" t="str">
        <v>F-108</v>
      </c>
      <c r="B112" t="str">
        <v>Redirect/Apply</v>
      </c>
      <c r="C112" t="str">
        <v>Apply button exists</v>
      </c>
      <c r="D112" t="str">
        <v>Smoke</v>
      </c>
      <c r="E112" t="str">
        <v>Critical</v>
      </c>
      <c r="F112" t="str">
        <v>Core</v>
      </c>
      <c r="G112">
        <f>COUNTIFS('Test Cases'!$B$5:$B$500,B112,'Test Cases'!$C$5:$C$500,C112)</f>
        <v>1</v>
      </c>
      <c r="H112">
        <f>COUNTIFS('Test Cases'!$B$5:$B$500,B112,'Test Cases'!$C$5:$C$500,C112,'Test Cases'!$L$5:$L$500,"&lt;&gt;Not Run")</f>
        <v>0</v>
      </c>
      <c r="I112">
        <f>COUNTIFS('Test Cases'!$B$5:$B$500,B112,'Test Cases'!$C$5:$C$500,C112,'Test Cases'!$L$5:$L$500,"Pass")</f>
        <v>0</v>
      </c>
      <c r="J112">
        <f>COUNTIFS('Test Cases'!$B$5:$B$500,B112,'Test Cases'!$C$5:$C$500,C112,'Test Cases'!$L$5:$L$500,"Fail")</f>
        <v>0</v>
      </c>
      <c r="K112">
        <f>COUNTIFS('Test Cases'!$B$5:$B$500,B112,'Test Cases'!$C$5:$C$500,C112,'Test Cases'!$L$5:$L$500,"Blocked")</f>
        <v>0</v>
      </c>
    </row>
    <row r="113">
      <c r="A113" t="str">
        <v>F-109</v>
      </c>
      <c r="B113" t="str">
        <v>Redirect/Apply</v>
      </c>
      <c r="C113" t="str">
        <v>Correct redirect destination</v>
      </c>
      <c r="D113" t="str">
        <v>Integration</v>
      </c>
      <c r="E113" t="str">
        <v>Critical</v>
      </c>
      <c r="F113" t="str">
        <v>Core</v>
      </c>
      <c r="G113">
        <f>COUNTIFS('Test Cases'!$B$5:$B$500,B113,'Test Cases'!$C$5:$C$500,C113)</f>
        <v>1</v>
      </c>
      <c r="H113">
        <f>COUNTIFS('Test Cases'!$B$5:$B$500,B113,'Test Cases'!$C$5:$C$500,C113,'Test Cases'!$L$5:$L$500,"&lt;&gt;Not Run")</f>
        <v>0</v>
      </c>
      <c r="I113">
        <f>COUNTIFS('Test Cases'!$B$5:$B$500,B113,'Test Cases'!$C$5:$C$500,C113,'Test Cases'!$L$5:$L$500,"Pass")</f>
        <v>0</v>
      </c>
      <c r="J113">
        <f>COUNTIFS('Test Cases'!$B$5:$B$500,B113,'Test Cases'!$C$5:$C$500,C113,'Test Cases'!$L$5:$L$500,"Fail")</f>
        <v>0</v>
      </c>
      <c r="K113">
        <f>COUNTIFS('Test Cases'!$B$5:$B$500,B113,'Test Cases'!$C$5:$C$500,C113,'Test Cases'!$L$5:$L$500,"Blocked")</f>
        <v>0</v>
      </c>
    </row>
    <row r="114">
      <c r="A114" t="str">
        <v>F-110</v>
      </c>
      <c r="B114" t="str">
        <v>Redirect/Apply</v>
      </c>
      <c r="C114" t="str">
        <v>HTTPS destination</v>
      </c>
      <c r="D114" t="str">
        <v>Security</v>
      </c>
      <c r="E114" t="str">
        <v>High</v>
      </c>
      <c r="F114" t="str">
        <v>Core</v>
      </c>
      <c r="G114">
        <f>COUNTIFS('Test Cases'!$B$5:$B$500,B114,'Test Cases'!$C$5:$C$500,C114)</f>
        <v>1</v>
      </c>
      <c r="H114">
        <f>COUNTIFS('Test Cases'!$B$5:$B$500,B114,'Test Cases'!$C$5:$C$500,C114,'Test Cases'!$L$5:$L$500,"&lt;&gt;Not Run")</f>
        <v>0</v>
      </c>
      <c r="I114">
        <f>COUNTIFS('Test Cases'!$B$5:$B$500,B114,'Test Cases'!$C$5:$C$500,C114,'Test Cases'!$L$5:$L$500,"Pass")</f>
        <v>0</v>
      </c>
      <c r="J114">
        <f>COUNTIFS('Test Cases'!$B$5:$B$500,B114,'Test Cases'!$C$5:$C$500,C114,'Test Cases'!$L$5:$L$500,"Fail")</f>
        <v>0</v>
      </c>
      <c r="K114">
        <f>COUNTIFS('Test Cases'!$B$5:$B$500,B114,'Test Cases'!$C$5:$C$500,C114,'Test Cases'!$L$5:$L$500,"Blocked")</f>
        <v>0</v>
      </c>
    </row>
    <row r="115">
      <c r="A115" t="str">
        <v>F-111</v>
      </c>
      <c r="B115" t="str">
        <v>Redirect/Apply</v>
      </c>
      <c r="C115" t="str">
        <v>Redirect to wrong job</v>
      </c>
      <c r="D115" t="str">
        <v>Negative</v>
      </c>
      <c r="E115" t="str">
        <v>Critical</v>
      </c>
      <c r="F115" t="str">
        <v>Core</v>
      </c>
      <c r="G115">
        <f>COUNTIFS('Test Cases'!$B$5:$B$500,B115,'Test Cases'!$C$5:$C$500,C115)</f>
        <v>1</v>
      </c>
      <c r="H115">
        <f>COUNTIFS('Test Cases'!$B$5:$B$500,B115,'Test Cases'!$C$5:$C$500,C115,'Test Cases'!$L$5:$L$500,"&lt;&gt;Not Run")</f>
        <v>0</v>
      </c>
      <c r="I115">
        <f>COUNTIFS('Test Cases'!$B$5:$B$500,B115,'Test Cases'!$C$5:$C$500,C115,'Test Cases'!$L$5:$L$500,"Pass")</f>
        <v>0</v>
      </c>
      <c r="J115">
        <f>COUNTIFS('Test Cases'!$B$5:$B$500,B115,'Test Cases'!$C$5:$C$500,C115,'Test Cases'!$L$5:$L$500,"Fail")</f>
        <v>0</v>
      </c>
      <c r="K115">
        <f>COUNTIFS('Test Cases'!$B$5:$B$500,B115,'Test Cases'!$C$5:$C$500,C115,'Test Cases'!$L$5:$L$500,"Blocked")</f>
        <v>0</v>
      </c>
    </row>
    <row r="116">
      <c r="A116" t="str">
        <v>F-112</v>
      </c>
      <c r="B116" t="str">
        <v>Redirect/Apply</v>
      </c>
      <c r="C116" t="str">
        <v>Broken external URL</v>
      </c>
      <c r="D116" t="str">
        <v>Negative</v>
      </c>
      <c r="E116" t="str">
        <v>Critical</v>
      </c>
      <c r="F116" t="str">
        <v>Core</v>
      </c>
      <c r="G116">
        <f>COUNTIFS('Test Cases'!$B$5:$B$500,B116,'Test Cases'!$C$5:$C$500,C116)</f>
        <v>1</v>
      </c>
      <c r="H116">
        <f>COUNTIFS('Test Cases'!$B$5:$B$500,B116,'Test Cases'!$C$5:$C$500,C116,'Test Cases'!$L$5:$L$500,"&lt;&gt;Not Run")</f>
        <v>0</v>
      </c>
      <c r="I116">
        <f>COUNTIFS('Test Cases'!$B$5:$B$500,B116,'Test Cases'!$C$5:$C$500,C116,'Test Cases'!$L$5:$L$500,"Pass")</f>
        <v>0</v>
      </c>
      <c r="J116">
        <f>COUNTIFS('Test Cases'!$B$5:$B$500,B116,'Test Cases'!$C$5:$C$500,C116,'Test Cases'!$L$5:$L$500,"Fail")</f>
        <v>0</v>
      </c>
      <c r="K116">
        <f>COUNTIFS('Test Cases'!$B$5:$B$500,B116,'Test Cases'!$C$5:$C$500,C116,'Test Cases'!$L$5:$L$500,"Blocked")</f>
        <v>0</v>
      </c>
    </row>
    <row r="117">
      <c r="A117" t="str">
        <v>F-113</v>
      </c>
      <c r="B117" t="str">
        <v>Redirect/Apply</v>
      </c>
      <c r="C117" t="str">
        <v>External 404 page</v>
      </c>
      <c r="D117" t="str">
        <v>Negative</v>
      </c>
      <c r="E117" t="str">
        <v>High</v>
      </c>
      <c r="F117" t="str">
        <v>Core</v>
      </c>
      <c r="G117">
        <f>COUNTIFS('Test Cases'!$B$5:$B$500,B117,'Test Cases'!$C$5:$C$500,C117)</f>
        <v>1</v>
      </c>
      <c r="H117">
        <f>COUNTIFS('Test Cases'!$B$5:$B$500,B117,'Test Cases'!$C$5:$C$500,C117,'Test Cases'!$L$5:$L$500,"&lt;&gt;Not Run")</f>
        <v>0</v>
      </c>
      <c r="I117">
        <f>COUNTIFS('Test Cases'!$B$5:$B$500,B117,'Test Cases'!$C$5:$C$500,C117,'Test Cases'!$L$5:$L$500,"Pass")</f>
        <v>0</v>
      </c>
      <c r="J117">
        <f>COUNTIFS('Test Cases'!$B$5:$B$500,B117,'Test Cases'!$C$5:$C$500,C117,'Test Cases'!$L$5:$L$500,"Fail")</f>
        <v>0</v>
      </c>
      <c r="K117">
        <f>COUNTIFS('Test Cases'!$B$5:$B$500,B117,'Test Cases'!$C$5:$C$500,C117,'Test Cases'!$L$5:$L$500,"Blocked")</f>
        <v>0</v>
      </c>
    </row>
    <row r="118">
      <c r="A118" t="str">
        <v>F-114</v>
      </c>
      <c r="B118" t="str">
        <v>Redirect/Apply</v>
      </c>
      <c r="C118" t="str">
        <v>Expired source job</v>
      </c>
      <c r="D118" t="str">
        <v>Functional</v>
      </c>
      <c r="E118" t="str">
        <v>Critical</v>
      </c>
      <c r="F118" t="str">
        <v>Core</v>
      </c>
      <c r="G118">
        <f>COUNTIFS('Test Cases'!$B$5:$B$500,B118,'Test Cases'!$C$5:$C$500,C118)</f>
        <v>1</v>
      </c>
      <c r="H118">
        <f>COUNTIFS('Test Cases'!$B$5:$B$500,B118,'Test Cases'!$C$5:$C$500,C118,'Test Cases'!$L$5:$L$500,"&lt;&gt;Not Run")</f>
        <v>0</v>
      </c>
      <c r="I118">
        <f>COUNTIFS('Test Cases'!$B$5:$B$500,B118,'Test Cases'!$C$5:$C$500,C118,'Test Cases'!$L$5:$L$500,"Pass")</f>
        <v>0</v>
      </c>
      <c r="J118">
        <f>COUNTIFS('Test Cases'!$B$5:$B$500,B118,'Test Cases'!$C$5:$C$500,C118,'Test Cases'!$L$5:$L$500,"Fail")</f>
        <v>0</v>
      </c>
      <c r="K118">
        <f>COUNTIFS('Test Cases'!$B$5:$B$500,B118,'Test Cases'!$C$5:$C$500,C118,'Test Cases'!$L$5:$L$500,"Blocked")</f>
        <v>0</v>
      </c>
    </row>
    <row r="119">
      <c r="A119" t="str">
        <v>F-115</v>
      </c>
      <c r="B119" t="str">
        <v>Redirect/Apply</v>
      </c>
      <c r="C119" t="str">
        <v>Redirect chain</v>
      </c>
      <c r="D119" t="str">
        <v>Security</v>
      </c>
      <c r="E119" t="str">
        <v>High</v>
      </c>
      <c r="F119" t="str">
        <v>Core</v>
      </c>
      <c r="G119">
        <f>COUNTIFS('Test Cases'!$B$5:$B$500,B119,'Test Cases'!$C$5:$C$500,C119)</f>
        <v>1</v>
      </c>
      <c r="H119">
        <f>COUNTIFS('Test Cases'!$B$5:$B$500,B119,'Test Cases'!$C$5:$C$500,C119,'Test Cases'!$L$5:$L$500,"&lt;&gt;Not Run")</f>
        <v>0</v>
      </c>
      <c r="I119">
        <f>COUNTIFS('Test Cases'!$B$5:$B$500,B119,'Test Cases'!$C$5:$C$500,C119,'Test Cases'!$L$5:$L$500,"Pass")</f>
        <v>0</v>
      </c>
      <c r="J119">
        <f>COUNTIFS('Test Cases'!$B$5:$B$500,B119,'Test Cases'!$C$5:$C$500,C119,'Test Cases'!$L$5:$L$500,"Fail")</f>
        <v>0</v>
      </c>
      <c r="K119">
        <f>COUNTIFS('Test Cases'!$B$5:$B$500,B119,'Test Cases'!$C$5:$C$500,C119,'Test Cases'!$L$5:$L$500,"Blocked")</f>
        <v>0</v>
      </c>
    </row>
    <row r="120">
      <c r="A120" t="str">
        <v>F-116</v>
      </c>
      <c r="B120" t="str">
        <v>Redirect/Apply</v>
      </c>
      <c r="C120" t="str">
        <v>New tab behavior</v>
      </c>
      <c r="D120" t="str">
        <v>UI/UX</v>
      </c>
      <c r="E120" t="str">
        <v>Low</v>
      </c>
      <c r="F120" t="str">
        <v>Core</v>
      </c>
      <c r="G120">
        <f>COUNTIFS('Test Cases'!$B$5:$B$500,B120,'Test Cases'!$C$5:$C$500,C120)</f>
        <v>1</v>
      </c>
      <c r="H120">
        <f>COUNTIFS('Test Cases'!$B$5:$B$500,B120,'Test Cases'!$C$5:$C$500,C120,'Test Cases'!$L$5:$L$500,"&lt;&gt;Not Run")</f>
        <v>0</v>
      </c>
      <c r="I120">
        <f>COUNTIFS('Test Cases'!$B$5:$B$500,B120,'Test Cases'!$C$5:$C$500,C120,'Test Cases'!$L$5:$L$500,"Pass")</f>
        <v>0</v>
      </c>
      <c r="J120">
        <f>COUNTIFS('Test Cases'!$B$5:$B$500,B120,'Test Cases'!$C$5:$C$500,C120,'Test Cases'!$L$5:$L$500,"Fail")</f>
        <v>0</v>
      </c>
      <c r="K120">
        <f>COUNTIFS('Test Cases'!$B$5:$B$500,B120,'Test Cases'!$C$5:$C$500,C120,'Test Cases'!$L$5:$L$500,"Blocked")</f>
        <v>0</v>
      </c>
    </row>
    <row r="121">
      <c r="A121" t="str">
        <v>F-117</v>
      </c>
      <c r="B121" t="str">
        <v>Redirect/Apply</v>
      </c>
      <c r="C121" t="str">
        <v>Tracking parameter correctness</v>
      </c>
      <c r="D121" t="str">
        <v>Integration</v>
      </c>
      <c r="E121" t="str">
        <v>Medium</v>
      </c>
      <c r="F121" t="str">
        <v>Core</v>
      </c>
      <c r="G121">
        <f>COUNTIFS('Test Cases'!$B$5:$B$500,B121,'Test Cases'!$C$5:$C$500,C121)</f>
        <v>1</v>
      </c>
      <c r="H121">
        <f>COUNTIFS('Test Cases'!$B$5:$B$500,B121,'Test Cases'!$C$5:$C$500,C121,'Test Cases'!$L$5:$L$500,"&lt;&gt;Not Run")</f>
        <v>0</v>
      </c>
      <c r="I121">
        <f>COUNTIFS('Test Cases'!$B$5:$B$500,B121,'Test Cases'!$C$5:$C$500,C121,'Test Cases'!$L$5:$L$500,"Pass")</f>
        <v>0</v>
      </c>
      <c r="J121">
        <f>COUNTIFS('Test Cases'!$B$5:$B$500,B121,'Test Cases'!$C$5:$C$500,C121,'Test Cases'!$L$5:$L$500,"Fail")</f>
        <v>0</v>
      </c>
      <c r="K121">
        <f>COUNTIFS('Test Cases'!$B$5:$B$500,B121,'Test Cases'!$C$5:$C$500,C121,'Test Cases'!$L$5:$L$500,"Blocked")</f>
        <v>0</v>
      </c>
    </row>
    <row r="122">
      <c r="A122" t="str">
        <v>F-118</v>
      </c>
      <c r="B122" t="str">
        <v>Redirect/Apply</v>
      </c>
      <c r="C122" t="str">
        <v>Apply without login</v>
      </c>
      <c r="D122" t="str">
        <v>Functional</v>
      </c>
      <c r="E122" t="str">
        <v>High</v>
      </c>
      <c r="F122" t="str">
        <v>Core</v>
      </c>
      <c r="G122">
        <f>COUNTIFS('Test Cases'!$B$5:$B$500,B122,'Test Cases'!$C$5:$C$500,C122)</f>
        <v>1</v>
      </c>
      <c r="H122">
        <f>COUNTIFS('Test Cases'!$B$5:$B$500,B122,'Test Cases'!$C$5:$C$500,C122,'Test Cases'!$L$5:$L$500,"&lt;&gt;Not Run")</f>
        <v>0</v>
      </c>
      <c r="I122">
        <f>COUNTIFS('Test Cases'!$B$5:$B$500,B122,'Test Cases'!$C$5:$C$500,C122,'Test Cases'!$L$5:$L$500,"Pass")</f>
        <v>0</v>
      </c>
      <c r="J122">
        <f>COUNTIFS('Test Cases'!$B$5:$B$500,B122,'Test Cases'!$C$5:$C$500,C122,'Test Cases'!$L$5:$L$500,"Fail")</f>
        <v>0</v>
      </c>
      <c r="K122">
        <f>COUNTIFS('Test Cases'!$B$5:$B$500,B122,'Test Cases'!$C$5:$C$500,C122,'Test Cases'!$L$5:$L$500,"Blocked")</f>
        <v>0</v>
      </c>
    </row>
    <row r="123">
      <c r="A123" t="str">
        <v>F-119</v>
      </c>
      <c r="B123" t="str">
        <v>Redirect/Apply</v>
      </c>
      <c r="C123" t="str">
        <v>Apply with login</v>
      </c>
      <c r="D123" t="str">
        <v>Functional</v>
      </c>
      <c r="E123" t="str">
        <v>High</v>
      </c>
      <c r="F123" t="str">
        <v>Core</v>
      </c>
      <c r="G123">
        <f>COUNTIFS('Test Cases'!$B$5:$B$500,B123,'Test Cases'!$C$5:$C$500,C123)</f>
        <v>1</v>
      </c>
      <c r="H123">
        <f>COUNTIFS('Test Cases'!$B$5:$B$500,B123,'Test Cases'!$C$5:$C$500,C123,'Test Cases'!$L$5:$L$500,"&lt;&gt;Not Run")</f>
        <v>0</v>
      </c>
      <c r="I123">
        <f>COUNTIFS('Test Cases'!$B$5:$B$500,B123,'Test Cases'!$C$5:$C$500,C123,'Test Cases'!$L$5:$L$500,"Pass")</f>
        <v>0</v>
      </c>
      <c r="J123">
        <f>COUNTIFS('Test Cases'!$B$5:$B$500,B123,'Test Cases'!$C$5:$C$500,C123,'Test Cases'!$L$5:$L$500,"Fail")</f>
        <v>0</v>
      </c>
      <c r="K123">
        <f>COUNTIFS('Test Cases'!$B$5:$B$500,B123,'Test Cases'!$C$5:$C$500,C123,'Test Cases'!$L$5:$L$500,"Blocked")</f>
        <v>0</v>
      </c>
    </row>
    <row r="124">
      <c r="A124" t="str">
        <v>F-120</v>
      </c>
      <c r="B124" t="str">
        <v>Redirect/Apply</v>
      </c>
      <c r="C124" t="str">
        <v>Popup-blocker behavior</v>
      </c>
      <c r="D124" t="str">
        <v>Compatibility</v>
      </c>
      <c r="E124" t="str">
        <v>Low</v>
      </c>
      <c r="F124" t="str">
        <v>Core</v>
      </c>
      <c r="G124">
        <f>COUNTIFS('Test Cases'!$B$5:$B$500,B124,'Test Cases'!$C$5:$C$500,C124)</f>
        <v>1</v>
      </c>
      <c r="H124">
        <f>COUNTIFS('Test Cases'!$B$5:$B$500,B124,'Test Cases'!$C$5:$C$500,C124,'Test Cases'!$L$5:$L$500,"&lt;&gt;Not Run")</f>
        <v>0</v>
      </c>
      <c r="I124">
        <f>COUNTIFS('Test Cases'!$B$5:$B$500,B124,'Test Cases'!$C$5:$C$500,C124,'Test Cases'!$L$5:$L$500,"Pass")</f>
        <v>0</v>
      </c>
      <c r="J124">
        <f>COUNTIFS('Test Cases'!$B$5:$B$500,B124,'Test Cases'!$C$5:$C$500,C124,'Test Cases'!$L$5:$L$500,"Fail")</f>
        <v>0</v>
      </c>
      <c r="K124">
        <f>COUNTIFS('Test Cases'!$B$5:$B$500,B124,'Test Cases'!$C$5:$C$500,C124,'Test Cases'!$L$5:$L$500,"Blocked")</f>
        <v>0</v>
      </c>
    </row>
    <row r="125">
      <c r="A125" t="str">
        <v>F-121</v>
      </c>
      <c r="B125" t="str">
        <v>Redirect/Apply</v>
      </c>
      <c r="C125" t="str">
        <v>Mobile redirect</v>
      </c>
      <c r="D125" t="str">
        <v>Compatibility</v>
      </c>
      <c r="E125" t="str">
        <v>High</v>
      </c>
      <c r="F125" t="str">
        <v>Core</v>
      </c>
      <c r="G125">
        <f>COUNTIFS('Test Cases'!$B$5:$B$500,B125,'Test Cases'!$C$5:$C$500,C125)</f>
        <v>1</v>
      </c>
      <c r="H125">
        <f>COUNTIFS('Test Cases'!$B$5:$B$500,B125,'Test Cases'!$C$5:$C$500,C125,'Test Cases'!$L$5:$L$500,"&lt;&gt;Not Run")</f>
        <v>0</v>
      </c>
      <c r="I125">
        <f>COUNTIFS('Test Cases'!$B$5:$B$500,B125,'Test Cases'!$C$5:$C$500,C125,'Test Cases'!$L$5:$L$500,"Pass")</f>
        <v>0</v>
      </c>
      <c r="J125">
        <f>COUNTIFS('Test Cases'!$B$5:$B$500,B125,'Test Cases'!$C$5:$C$500,C125,'Test Cases'!$L$5:$L$500,"Fail")</f>
        <v>0</v>
      </c>
      <c r="K125">
        <f>COUNTIFS('Test Cases'!$B$5:$B$500,B125,'Test Cases'!$C$5:$C$500,C125,'Test Cases'!$L$5:$L$500,"Blocked")</f>
        <v>0</v>
      </c>
    </row>
    <row r="126">
      <c r="A126" t="str">
        <v>F-122</v>
      </c>
      <c r="B126" t="str">
        <v>Redirect/Apply</v>
      </c>
      <c r="C126" t="str">
        <v>Government official apply link</v>
      </c>
      <c r="D126" t="str">
        <v>Critical</v>
      </c>
      <c r="E126" t="str">
        <v>Critical</v>
      </c>
      <c r="F126" t="str">
        <v>Core</v>
      </c>
      <c r="G126">
        <f>COUNTIFS('Test Cases'!$B$5:$B$500,B126,'Test Cases'!$C$5:$C$500,C126)</f>
        <v>1</v>
      </c>
      <c r="H126">
        <f>COUNTIFS('Test Cases'!$B$5:$B$500,B126,'Test Cases'!$C$5:$C$500,C126,'Test Cases'!$L$5:$L$500,"&lt;&gt;Not Run")</f>
        <v>0</v>
      </c>
      <c r="I126">
        <f>COUNTIFS('Test Cases'!$B$5:$B$500,B126,'Test Cases'!$C$5:$C$500,C126,'Test Cases'!$L$5:$L$500,"Pass")</f>
        <v>0</v>
      </c>
      <c r="J126">
        <f>COUNTIFS('Test Cases'!$B$5:$B$500,B126,'Test Cases'!$C$5:$C$500,C126,'Test Cases'!$L$5:$L$500,"Fail")</f>
        <v>0</v>
      </c>
      <c r="K126">
        <f>COUNTIFS('Test Cases'!$B$5:$B$500,B126,'Test Cases'!$C$5:$C$500,C126,'Test Cases'!$L$5:$L$500,"Blocked")</f>
        <v>0</v>
      </c>
    </row>
    <row r="127">
      <c r="A127" t="str">
        <v>F-123</v>
      </c>
      <c r="B127" t="str">
        <v>Redirect/Apply</v>
      </c>
      <c r="C127" t="str">
        <v>Government notification link</v>
      </c>
      <c r="D127" t="str">
        <v>Functional</v>
      </c>
      <c r="E127" t="str">
        <v>High</v>
      </c>
      <c r="F127" t="str">
        <v>Core</v>
      </c>
      <c r="G127">
        <f>COUNTIFS('Test Cases'!$B$5:$B$500,B127,'Test Cases'!$C$5:$C$500,C127)</f>
        <v>1</v>
      </c>
      <c r="H127">
        <f>COUNTIFS('Test Cases'!$B$5:$B$500,B127,'Test Cases'!$C$5:$C$500,C127,'Test Cases'!$L$5:$L$500,"&lt;&gt;Not Run")</f>
        <v>0</v>
      </c>
      <c r="I127">
        <f>COUNTIFS('Test Cases'!$B$5:$B$500,B127,'Test Cases'!$C$5:$C$500,C127,'Test Cases'!$L$5:$L$500,"Pass")</f>
        <v>0</v>
      </c>
      <c r="J127">
        <f>COUNTIFS('Test Cases'!$B$5:$B$500,B127,'Test Cases'!$C$5:$C$500,C127,'Test Cases'!$L$5:$L$500,"Fail")</f>
        <v>0</v>
      </c>
      <c r="K127">
        <f>COUNTIFS('Test Cases'!$B$5:$B$500,B127,'Test Cases'!$C$5:$C$500,C127,'Test Cases'!$L$5:$L$500,"Blocked")</f>
        <v>0</v>
      </c>
    </row>
    <row r="128">
      <c r="A128" t="str">
        <v>F-124</v>
      </c>
      <c r="B128" t="str">
        <v>Government Jobs</v>
      </c>
      <c r="C128" t="str">
        <v>Government classification</v>
      </c>
      <c r="D128" t="str">
        <v>Smoke</v>
      </c>
      <c r="E128" t="str">
        <v>Critical</v>
      </c>
      <c r="F128" t="str">
        <v>Core</v>
      </c>
      <c r="G128">
        <f>COUNTIFS('Test Cases'!$B$5:$B$500,B128,'Test Cases'!$C$5:$C$500,C128)</f>
        <v>1</v>
      </c>
      <c r="H128">
        <f>COUNTIFS('Test Cases'!$B$5:$B$500,B128,'Test Cases'!$C$5:$C$500,C128,'Test Cases'!$L$5:$L$500,"&lt;&gt;Not Run")</f>
        <v>0</v>
      </c>
      <c r="I128">
        <f>COUNTIFS('Test Cases'!$B$5:$B$500,B128,'Test Cases'!$C$5:$C$500,C128,'Test Cases'!$L$5:$L$500,"Pass")</f>
        <v>0</v>
      </c>
      <c r="J128">
        <f>COUNTIFS('Test Cases'!$B$5:$B$500,B128,'Test Cases'!$C$5:$C$500,C128,'Test Cases'!$L$5:$L$500,"Fail")</f>
        <v>0</v>
      </c>
      <c r="K128">
        <f>COUNTIFS('Test Cases'!$B$5:$B$500,B128,'Test Cases'!$C$5:$C$500,C128,'Test Cases'!$L$5:$L$500,"Blocked")</f>
        <v>0</v>
      </c>
    </row>
    <row r="129">
      <c r="A129" t="str">
        <v>F-125</v>
      </c>
      <c r="B129" t="str">
        <v>Government Jobs</v>
      </c>
      <c r="C129" t="str">
        <v>Department/organization</v>
      </c>
      <c r="D129" t="str">
        <v>Data Quality</v>
      </c>
      <c r="E129" t="str">
        <v>High</v>
      </c>
      <c r="F129" t="str">
        <v>Core</v>
      </c>
      <c r="G129">
        <f>COUNTIFS('Test Cases'!$B$5:$B$500,B129,'Test Cases'!$C$5:$C$500,C129)</f>
        <v>1</v>
      </c>
      <c r="H129">
        <f>COUNTIFS('Test Cases'!$B$5:$B$500,B129,'Test Cases'!$C$5:$C$500,C129,'Test Cases'!$L$5:$L$500,"&lt;&gt;Not Run")</f>
        <v>0</v>
      </c>
      <c r="I129">
        <f>COUNTIFS('Test Cases'!$B$5:$B$500,B129,'Test Cases'!$C$5:$C$500,C129,'Test Cases'!$L$5:$L$500,"Pass")</f>
        <v>0</v>
      </c>
      <c r="J129">
        <f>COUNTIFS('Test Cases'!$B$5:$B$500,B129,'Test Cases'!$C$5:$C$500,C129,'Test Cases'!$L$5:$L$500,"Fail")</f>
        <v>0</v>
      </c>
      <c r="K129">
        <f>COUNTIFS('Test Cases'!$B$5:$B$500,B129,'Test Cases'!$C$5:$C$500,C129,'Test Cases'!$L$5:$L$500,"Blocked")</f>
        <v>0</v>
      </c>
    </row>
    <row r="130">
      <c r="A130" t="str">
        <v>F-126</v>
      </c>
      <c r="B130" t="str">
        <v>Government Jobs</v>
      </c>
      <c r="C130" t="str">
        <v>Post title</v>
      </c>
      <c r="D130" t="str">
        <v>Data Quality</v>
      </c>
      <c r="E130" t="str">
        <v>High</v>
      </c>
      <c r="F130" t="str">
        <v>Core</v>
      </c>
      <c r="G130">
        <f>COUNTIFS('Test Cases'!$B$5:$B$500,B130,'Test Cases'!$C$5:$C$500,C130)</f>
        <v>1</v>
      </c>
      <c r="H130">
        <f>COUNTIFS('Test Cases'!$B$5:$B$500,B130,'Test Cases'!$C$5:$C$500,C130,'Test Cases'!$L$5:$L$500,"&lt;&gt;Not Run")</f>
        <v>0</v>
      </c>
      <c r="I130">
        <f>COUNTIFS('Test Cases'!$B$5:$B$500,B130,'Test Cases'!$C$5:$C$500,C130,'Test Cases'!$L$5:$L$500,"Pass")</f>
        <v>0</v>
      </c>
      <c r="J130">
        <f>COUNTIFS('Test Cases'!$B$5:$B$500,B130,'Test Cases'!$C$5:$C$500,C130,'Test Cases'!$L$5:$L$500,"Fail")</f>
        <v>0</v>
      </c>
      <c r="K130">
        <f>COUNTIFS('Test Cases'!$B$5:$B$500,B130,'Test Cases'!$C$5:$C$500,C130,'Test Cases'!$L$5:$L$500,"Blocked")</f>
        <v>0</v>
      </c>
    </row>
    <row r="131">
      <c r="A131" t="str">
        <v>F-127</v>
      </c>
      <c r="B131" t="str">
        <v>Government Jobs</v>
      </c>
      <c r="C131" t="str">
        <v>Advertisement/recruitment number</v>
      </c>
      <c r="D131" t="str">
        <v>Data Quality</v>
      </c>
      <c r="E131" t="str">
        <v>High</v>
      </c>
      <c r="F131" t="str">
        <v>Core</v>
      </c>
      <c r="G131">
        <f>COUNTIFS('Test Cases'!$B$5:$B$500,B131,'Test Cases'!$C$5:$C$500,C131)</f>
        <v>1</v>
      </c>
      <c r="H131">
        <f>COUNTIFS('Test Cases'!$B$5:$B$500,B131,'Test Cases'!$C$5:$C$500,C131,'Test Cases'!$L$5:$L$500,"&lt;&gt;Not Run")</f>
        <v>0</v>
      </c>
      <c r="I131">
        <f>COUNTIFS('Test Cases'!$B$5:$B$500,B131,'Test Cases'!$C$5:$C$500,C131,'Test Cases'!$L$5:$L$500,"Pass")</f>
        <v>0</v>
      </c>
      <c r="J131">
        <f>COUNTIFS('Test Cases'!$B$5:$B$500,B131,'Test Cases'!$C$5:$C$500,C131,'Test Cases'!$L$5:$L$500,"Fail")</f>
        <v>0</v>
      </c>
      <c r="K131">
        <f>COUNTIFS('Test Cases'!$B$5:$B$500,B131,'Test Cases'!$C$5:$C$500,C131,'Test Cases'!$L$5:$L$500,"Blocked")</f>
        <v>0</v>
      </c>
    </row>
    <row r="132">
      <c r="A132" t="str">
        <v>F-128</v>
      </c>
      <c r="B132" t="str">
        <v>Government Jobs</v>
      </c>
      <c r="C132" t="str">
        <v>Vacancy count</v>
      </c>
      <c r="D132" t="str">
        <v>Data Quality</v>
      </c>
      <c r="E132" t="str">
        <v>High</v>
      </c>
      <c r="F132" t="str">
        <v>Core</v>
      </c>
      <c r="G132">
        <f>COUNTIFS('Test Cases'!$B$5:$B$500,B132,'Test Cases'!$C$5:$C$500,C132)</f>
        <v>1</v>
      </c>
      <c r="H132">
        <f>COUNTIFS('Test Cases'!$B$5:$B$500,B132,'Test Cases'!$C$5:$C$500,C132,'Test Cases'!$L$5:$L$500,"&lt;&gt;Not Run")</f>
        <v>0</v>
      </c>
      <c r="I132">
        <f>COUNTIFS('Test Cases'!$B$5:$B$500,B132,'Test Cases'!$C$5:$C$500,C132,'Test Cases'!$L$5:$L$500,"Pass")</f>
        <v>0</v>
      </c>
      <c r="J132">
        <f>COUNTIFS('Test Cases'!$B$5:$B$500,B132,'Test Cases'!$C$5:$C$500,C132,'Test Cases'!$L$5:$L$500,"Fail")</f>
        <v>0</v>
      </c>
      <c r="K132">
        <f>COUNTIFS('Test Cases'!$B$5:$B$500,B132,'Test Cases'!$C$5:$C$500,C132,'Test Cases'!$L$5:$L$500,"Blocked")</f>
        <v>0</v>
      </c>
    </row>
    <row r="133">
      <c r="A133" t="str">
        <v>F-129</v>
      </c>
      <c r="B133" t="str">
        <v>Government Jobs</v>
      </c>
      <c r="C133" t="str">
        <v>Application start date</v>
      </c>
      <c r="D133" t="str">
        <v>Boundary</v>
      </c>
      <c r="E133" t="str">
        <v>Critical</v>
      </c>
      <c r="F133" t="str">
        <v>Core</v>
      </c>
      <c r="G133">
        <f>COUNTIFS('Test Cases'!$B$5:$B$500,B133,'Test Cases'!$C$5:$C$500,C133)</f>
        <v>1</v>
      </c>
      <c r="H133">
        <f>COUNTIFS('Test Cases'!$B$5:$B$500,B133,'Test Cases'!$C$5:$C$500,C133,'Test Cases'!$L$5:$L$500,"&lt;&gt;Not Run")</f>
        <v>0</v>
      </c>
      <c r="I133">
        <f>COUNTIFS('Test Cases'!$B$5:$B$500,B133,'Test Cases'!$C$5:$C$500,C133,'Test Cases'!$L$5:$L$500,"Pass")</f>
        <v>0</v>
      </c>
      <c r="J133">
        <f>COUNTIFS('Test Cases'!$B$5:$B$500,B133,'Test Cases'!$C$5:$C$500,C133,'Test Cases'!$L$5:$L$500,"Fail")</f>
        <v>0</v>
      </c>
      <c r="K133">
        <f>COUNTIFS('Test Cases'!$B$5:$B$500,B133,'Test Cases'!$C$5:$C$500,C133,'Test Cases'!$L$5:$L$500,"Blocked")</f>
        <v>0</v>
      </c>
    </row>
    <row r="134">
      <c r="A134" t="str">
        <v>F-130</v>
      </c>
      <c r="B134" t="str">
        <v>Government Jobs</v>
      </c>
      <c r="C134" t="str">
        <v>Application end date</v>
      </c>
      <c r="D134" t="str">
        <v>Boundary</v>
      </c>
      <c r="E134" t="str">
        <v>Critical</v>
      </c>
      <c r="F134" t="str">
        <v>Core</v>
      </c>
      <c r="G134">
        <f>COUNTIFS('Test Cases'!$B$5:$B$500,B134,'Test Cases'!$C$5:$C$500,C134)</f>
        <v>1</v>
      </c>
      <c r="H134">
        <f>COUNTIFS('Test Cases'!$B$5:$B$500,B134,'Test Cases'!$C$5:$C$500,C134,'Test Cases'!$L$5:$L$500,"&lt;&gt;Not Run")</f>
        <v>0</v>
      </c>
      <c r="I134">
        <f>COUNTIFS('Test Cases'!$B$5:$B$500,B134,'Test Cases'!$C$5:$C$500,C134,'Test Cases'!$L$5:$L$500,"Pass")</f>
        <v>0</v>
      </c>
      <c r="J134">
        <f>COUNTIFS('Test Cases'!$B$5:$B$500,B134,'Test Cases'!$C$5:$C$500,C134,'Test Cases'!$L$5:$L$500,"Fail")</f>
        <v>0</v>
      </c>
      <c r="K134">
        <f>COUNTIFS('Test Cases'!$B$5:$B$500,B134,'Test Cases'!$C$5:$C$500,C134,'Test Cases'!$L$5:$L$500,"Blocked")</f>
        <v>0</v>
      </c>
    </row>
    <row r="135">
      <c r="A135" t="str">
        <v>F-131</v>
      </c>
      <c r="B135" t="str">
        <v>Government Jobs</v>
      </c>
      <c r="C135" t="str">
        <v>End-date boundary</v>
      </c>
      <c r="D135" t="str">
        <v>Boundary</v>
      </c>
      <c r="E135" t="str">
        <v>Critical</v>
      </c>
      <c r="F135" t="str">
        <v>Core</v>
      </c>
      <c r="G135">
        <f>COUNTIFS('Test Cases'!$B$5:$B$500,B135,'Test Cases'!$C$5:$C$500,C135)</f>
        <v>1</v>
      </c>
      <c r="H135">
        <f>COUNTIFS('Test Cases'!$B$5:$B$500,B135,'Test Cases'!$C$5:$C$500,C135,'Test Cases'!$L$5:$L$500,"&lt;&gt;Not Run")</f>
        <v>0</v>
      </c>
      <c r="I135">
        <f>COUNTIFS('Test Cases'!$B$5:$B$500,B135,'Test Cases'!$C$5:$C$500,C135,'Test Cases'!$L$5:$L$500,"Pass")</f>
        <v>0</v>
      </c>
      <c r="J135">
        <f>COUNTIFS('Test Cases'!$B$5:$B$500,B135,'Test Cases'!$C$5:$C$500,C135,'Test Cases'!$L$5:$L$500,"Fail")</f>
        <v>0</v>
      </c>
      <c r="K135">
        <f>COUNTIFS('Test Cases'!$B$5:$B$500,B135,'Test Cases'!$C$5:$C$500,C135,'Test Cases'!$L$5:$L$500,"Blocked")</f>
        <v>0</v>
      </c>
    </row>
    <row r="136">
      <c r="A136" t="str">
        <v>F-132</v>
      </c>
      <c r="B136" t="str">
        <v>Government Jobs</v>
      </c>
      <c r="C136" t="str">
        <v>Expired govt job</v>
      </c>
      <c r="D136" t="str">
        <v>Negative</v>
      </c>
      <c r="E136" t="str">
        <v>Critical</v>
      </c>
      <c r="F136" t="str">
        <v>Core</v>
      </c>
      <c r="G136">
        <f>COUNTIFS('Test Cases'!$B$5:$B$500,B136,'Test Cases'!$C$5:$C$500,C136)</f>
        <v>1</v>
      </c>
      <c r="H136">
        <f>COUNTIFS('Test Cases'!$B$5:$B$500,B136,'Test Cases'!$C$5:$C$500,C136,'Test Cases'!$L$5:$L$500,"&lt;&gt;Not Run")</f>
        <v>0</v>
      </c>
      <c r="I136">
        <f>COUNTIFS('Test Cases'!$B$5:$B$500,B136,'Test Cases'!$C$5:$C$500,C136,'Test Cases'!$L$5:$L$500,"Pass")</f>
        <v>0</v>
      </c>
      <c r="J136">
        <f>COUNTIFS('Test Cases'!$B$5:$B$500,B136,'Test Cases'!$C$5:$C$500,C136,'Test Cases'!$L$5:$L$500,"Fail")</f>
        <v>0</v>
      </c>
      <c r="K136">
        <f>COUNTIFS('Test Cases'!$B$5:$B$500,B136,'Test Cases'!$C$5:$C$500,C136,'Test Cases'!$L$5:$L$500,"Blocked")</f>
        <v>0</v>
      </c>
    </row>
    <row r="137">
      <c r="A137" t="str">
        <v>F-133</v>
      </c>
      <c r="B137" t="str">
        <v>Government Jobs</v>
      </c>
      <c r="C137" t="str">
        <v>Upcoming govt job</v>
      </c>
      <c r="D137" t="str">
        <v>Functional</v>
      </c>
      <c r="E137" t="str">
        <v>High</v>
      </c>
      <c r="F137" t="str">
        <v>Core</v>
      </c>
      <c r="G137">
        <f>COUNTIFS('Test Cases'!$B$5:$B$500,B137,'Test Cases'!$C$5:$C$500,C137)</f>
        <v>1</v>
      </c>
      <c r="H137">
        <f>COUNTIFS('Test Cases'!$B$5:$B$500,B137,'Test Cases'!$C$5:$C$500,C137,'Test Cases'!$L$5:$L$500,"&lt;&gt;Not Run")</f>
        <v>0</v>
      </c>
      <c r="I137">
        <f>COUNTIFS('Test Cases'!$B$5:$B$500,B137,'Test Cases'!$C$5:$C$500,C137,'Test Cases'!$L$5:$L$500,"Pass")</f>
        <v>0</v>
      </c>
      <c r="J137">
        <f>COUNTIFS('Test Cases'!$B$5:$B$500,B137,'Test Cases'!$C$5:$C$500,C137,'Test Cases'!$L$5:$L$500,"Fail")</f>
        <v>0</v>
      </c>
      <c r="K137">
        <f>COUNTIFS('Test Cases'!$B$5:$B$500,B137,'Test Cases'!$C$5:$C$500,C137,'Test Cases'!$L$5:$L$500,"Blocked")</f>
        <v>0</v>
      </c>
    </row>
    <row r="138">
      <c r="A138" t="str">
        <v>F-134</v>
      </c>
      <c r="B138" t="str">
        <v>Government Jobs</v>
      </c>
      <c r="C138" t="str">
        <v>Educational qualification</v>
      </c>
      <c r="D138" t="str">
        <v>Data Quality</v>
      </c>
      <c r="E138" t="str">
        <v>Critical</v>
      </c>
      <c r="F138" t="str">
        <v>Core</v>
      </c>
      <c r="G138">
        <f>COUNTIFS('Test Cases'!$B$5:$B$500,B138,'Test Cases'!$C$5:$C$500,C138)</f>
        <v>1</v>
      </c>
      <c r="H138">
        <f>COUNTIFS('Test Cases'!$B$5:$B$500,B138,'Test Cases'!$C$5:$C$500,C138,'Test Cases'!$L$5:$L$500,"&lt;&gt;Not Run")</f>
        <v>0</v>
      </c>
      <c r="I138">
        <f>COUNTIFS('Test Cases'!$B$5:$B$500,B138,'Test Cases'!$C$5:$C$500,C138,'Test Cases'!$L$5:$L$500,"Pass")</f>
        <v>0</v>
      </c>
      <c r="J138">
        <f>COUNTIFS('Test Cases'!$B$5:$B$500,B138,'Test Cases'!$C$5:$C$500,C138,'Test Cases'!$L$5:$L$500,"Fail")</f>
        <v>0</v>
      </c>
      <c r="K138">
        <f>COUNTIFS('Test Cases'!$B$5:$B$500,B138,'Test Cases'!$C$5:$C$500,C138,'Test Cases'!$L$5:$L$500,"Blocked")</f>
        <v>0</v>
      </c>
    </row>
    <row r="139">
      <c r="A139" t="str">
        <v>F-135</v>
      </c>
      <c r="B139" t="str">
        <v>Government Jobs</v>
      </c>
      <c r="C139" t="str">
        <v>Age minimum</v>
      </c>
      <c r="D139" t="str">
        <v>Boundary</v>
      </c>
      <c r="E139" t="str">
        <v>Critical</v>
      </c>
      <c r="F139" t="str">
        <v>Core</v>
      </c>
      <c r="G139">
        <f>COUNTIFS('Test Cases'!$B$5:$B$500,B139,'Test Cases'!$C$5:$C$500,C139)</f>
        <v>1</v>
      </c>
      <c r="H139">
        <f>COUNTIFS('Test Cases'!$B$5:$B$500,B139,'Test Cases'!$C$5:$C$500,C139,'Test Cases'!$L$5:$L$500,"&lt;&gt;Not Run")</f>
        <v>0</v>
      </c>
      <c r="I139">
        <f>COUNTIFS('Test Cases'!$B$5:$B$500,B139,'Test Cases'!$C$5:$C$500,C139,'Test Cases'!$L$5:$L$500,"Pass")</f>
        <v>0</v>
      </c>
      <c r="J139">
        <f>COUNTIFS('Test Cases'!$B$5:$B$500,B139,'Test Cases'!$C$5:$C$500,C139,'Test Cases'!$L$5:$L$500,"Fail")</f>
        <v>0</v>
      </c>
      <c r="K139">
        <f>COUNTIFS('Test Cases'!$B$5:$B$500,B139,'Test Cases'!$C$5:$C$500,C139,'Test Cases'!$L$5:$L$500,"Blocked")</f>
        <v>0</v>
      </c>
    </row>
    <row r="140">
      <c r="A140" t="str">
        <v>F-136</v>
      </c>
      <c r="B140" t="str">
        <v>Government Jobs</v>
      </c>
      <c r="C140" t="str">
        <v>Age exact minimum</v>
      </c>
      <c r="D140" t="str">
        <v>Boundary</v>
      </c>
      <c r="E140" t="str">
        <v>Critical</v>
      </c>
      <c r="F140" t="str">
        <v>Core</v>
      </c>
      <c r="G140">
        <f>COUNTIFS('Test Cases'!$B$5:$B$500,B140,'Test Cases'!$C$5:$C$500,C140)</f>
        <v>1</v>
      </c>
      <c r="H140">
        <f>COUNTIFS('Test Cases'!$B$5:$B$500,B140,'Test Cases'!$C$5:$C$500,C140,'Test Cases'!$L$5:$L$500,"&lt;&gt;Not Run")</f>
        <v>0</v>
      </c>
      <c r="I140">
        <f>COUNTIFS('Test Cases'!$B$5:$B$500,B140,'Test Cases'!$C$5:$C$500,C140,'Test Cases'!$L$5:$L$500,"Pass")</f>
        <v>0</v>
      </c>
      <c r="J140">
        <f>COUNTIFS('Test Cases'!$B$5:$B$500,B140,'Test Cases'!$C$5:$C$500,C140,'Test Cases'!$L$5:$L$500,"Fail")</f>
        <v>0</v>
      </c>
      <c r="K140">
        <f>COUNTIFS('Test Cases'!$B$5:$B$500,B140,'Test Cases'!$C$5:$C$500,C140,'Test Cases'!$L$5:$L$500,"Blocked")</f>
        <v>0</v>
      </c>
    </row>
    <row r="141">
      <c r="A141" t="str">
        <v>F-137</v>
      </c>
      <c r="B141" t="str">
        <v>Government Jobs</v>
      </c>
      <c r="C141" t="str">
        <v>Age maximum</v>
      </c>
      <c r="D141" t="str">
        <v>Boundary</v>
      </c>
      <c r="E141" t="str">
        <v>Critical</v>
      </c>
      <c r="F141" t="str">
        <v>Core</v>
      </c>
      <c r="G141">
        <f>COUNTIFS('Test Cases'!$B$5:$B$500,B141,'Test Cases'!$C$5:$C$500,C141)</f>
        <v>1</v>
      </c>
      <c r="H141">
        <f>COUNTIFS('Test Cases'!$B$5:$B$500,B141,'Test Cases'!$C$5:$C$500,C141,'Test Cases'!$L$5:$L$500,"&lt;&gt;Not Run")</f>
        <v>0</v>
      </c>
      <c r="I141">
        <f>COUNTIFS('Test Cases'!$B$5:$B$500,B141,'Test Cases'!$C$5:$C$500,C141,'Test Cases'!$L$5:$L$500,"Pass")</f>
        <v>0</v>
      </c>
      <c r="J141">
        <f>COUNTIFS('Test Cases'!$B$5:$B$500,B141,'Test Cases'!$C$5:$C$500,C141,'Test Cases'!$L$5:$L$500,"Fail")</f>
        <v>0</v>
      </c>
      <c r="K141">
        <f>COUNTIFS('Test Cases'!$B$5:$B$500,B141,'Test Cases'!$C$5:$C$500,C141,'Test Cases'!$L$5:$L$500,"Blocked")</f>
        <v>0</v>
      </c>
    </row>
    <row r="142">
      <c r="A142" t="str">
        <v>F-138</v>
      </c>
      <c r="B142" t="str">
        <v>Government Jobs</v>
      </c>
      <c r="C142" t="str">
        <v>Age above maximum</v>
      </c>
      <c r="D142" t="str">
        <v>Boundary</v>
      </c>
      <c r="E142" t="str">
        <v>Critical</v>
      </c>
      <c r="F142" t="str">
        <v>Core</v>
      </c>
      <c r="G142">
        <f>COUNTIFS('Test Cases'!$B$5:$B$500,B142,'Test Cases'!$C$5:$C$500,C142)</f>
        <v>1</v>
      </c>
      <c r="H142">
        <f>COUNTIFS('Test Cases'!$B$5:$B$500,B142,'Test Cases'!$C$5:$C$500,C142,'Test Cases'!$L$5:$L$500,"&lt;&gt;Not Run")</f>
        <v>0</v>
      </c>
      <c r="I142">
        <f>COUNTIFS('Test Cases'!$B$5:$B$500,B142,'Test Cases'!$C$5:$C$500,C142,'Test Cases'!$L$5:$L$500,"Pass")</f>
        <v>0</v>
      </c>
      <c r="J142">
        <f>COUNTIFS('Test Cases'!$B$5:$B$500,B142,'Test Cases'!$C$5:$C$500,C142,'Test Cases'!$L$5:$L$500,"Fail")</f>
        <v>0</v>
      </c>
      <c r="K142">
        <f>COUNTIFS('Test Cases'!$B$5:$B$500,B142,'Test Cases'!$C$5:$C$500,C142,'Test Cases'!$L$5:$L$500,"Blocked")</f>
        <v>0</v>
      </c>
    </row>
    <row r="143">
      <c r="A143" t="str">
        <v>F-139</v>
      </c>
      <c r="B143" t="str">
        <v>Government Jobs</v>
      </c>
      <c r="C143" t="str">
        <v>Category relaxation</v>
      </c>
      <c r="D143" t="str">
        <v>Functional</v>
      </c>
      <c r="E143" t="str">
        <v>High</v>
      </c>
      <c r="F143" t="str">
        <v>Core</v>
      </c>
      <c r="G143">
        <f>COUNTIFS('Test Cases'!$B$5:$B$500,B143,'Test Cases'!$C$5:$C$500,C143)</f>
        <v>1</v>
      </c>
      <c r="H143">
        <f>COUNTIFS('Test Cases'!$B$5:$B$500,B143,'Test Cases'!$C$5:$C$500,C143,'Test Cases'!$L$5:$L$500,"&lt;&gt;Not Run")</f>
        <v>0</v>
      </c>
      <c r="I143">
        <f>COUNTIFS('Test Cases'!$B$5:$B$500,B143,'Test Cases'!$C$5:$C$500,C143,'Test Cases'!$L$5:$L$500,"Pass")</f>
        <v>0</v>
      </c>
      <c r="J143">
        <f>COUNTIFS('Test Cases'!$B$5:$B$500,B143,'Test Cases'!$C$5:$C$500,C143,'Test Cases'!$L$5:$L$500,"Fail")</f>
        <v>0</v>
      </c>
      <c r="K143">
        <f>COUNTIFS('Test Cases'!$B$5:$B$500,B143,'Test Cases'!$C$5:$C$500,C143,'Test Cases'!$L$5:$L$500,"Blocked")</f>
        <v>0</v>
      </c>
    </row>
    <row r="144">
      <c r="A144" t="str">
        <v>F-140</v>
      </c>
      <c r="B144" t="str">
        <v>Government Jobs</v>
      </c>
      <c r="C144" t="str">
        <v>PwD/other relaxation</v>
      </c>
      <c r="D144" t="str">
        <v>Functional</v>
      </c>
      <c r="E144" t="str">
        <v>Medium</v>
      </c>
      <c r="F144" t="str">
        <v>Core</v>
      </c>
      <c r="G144">
        <f>COUNTIFS('Test Cases'!$B$5:$B$500,B144,'Test Cases'!$C$5:$C$500,C144)</f>
        <v>1</v>
      </c>
      <c r="H144">
        <f>COUNTIFS('Test Cases'!$B$5:$B$500,B144,'Test Cases'!$C$5:$C$500,C144,'Test Cases'!$L$5:$L$500,"&lt;&gt;Not Run")</f>
        <v>0</v>
      </c>
      <c r="I144">
        <f>COUNTIFS('Test Cases'!$B$5:$B$500,B144,'Test Cases'!$C$5:$C$500,C144,'Test Cases'!$L$5:$L$500,"Pass")</f>
        <v>0</v>
      </c>
      <c r="J144">
        <f>COUNTIFS('Test Cases'!$B$5:$B$500,B144,'Test Cases'!$C$5:$C$500,C144,'Test Cases'!$L$5:$L$500,"Fail")</f>
        <v>0</v>
      </c>
      <c r="K144">
        <f>COUNTIFS('Test Cases'!$B$5:$B$500,B144,'Test Cases'!$C$5:$C$500,C144,'Test Cases'!$L$5:$L$500,"Blocked")</f>
        <v>0</v>
      </c>
    </row>
    <row r="145">
      <c r="A145" t="str">
        <v>F-141</v>
      </c>
      <c r="B145" t="str">
        <v>Government Jobs</v>
      </c>
      <c r="C145" t="str">
        <v>Fee amount</v>
      </c>
      <c r="D145" t="str">
        <v>Data Quality</v>
      </c>
      <c r="E145" t="str">
        <v>High</v>
      </c>
      <c r="F145" t="str">
        <v>Core</v>
      </c>
      <c r="G145">
        <f>COUNTIFS('Test Cases'!$B$5:$B$500,B145,'Test Cases'!$C$5:$C$500,C145)</f>
        <v>1</v>
      </c>
      <c r="H145">
        <f>COUNTIFS('Test Cases'!$B$5:$B$500,B145,'Test Cases'!$C$5:$C$500,C145,'Test Cases'!$L$5:$L$500,"&lt;&gt;Not Run")</f>
        <v>0</v>
      </c>
      <c r="I145">
        <f>COUNTIFS('Test Cases'!$B$5:$B$500,B145,'Test Cases'!$C$5:$C$500,C145,'Test Cases'!$L$5:$L$500,"Pass")</f>
        <v>0</v>
      </c>
      <c r="J145">
        <f>COUNTIFS('Test Cases'!$B$5:$B$500,B145,'Test Cases'!$C$5:$C$500,C145,'Test Cases'!$L$5:$L$500,"Fail")</f>
        <v>0</v>
      </c>
      <c r="K145">
        <f>COUNTIFS('Test Cases'!$B$5:$B$500,B145,'Test Cases'!$C$5:$C$500,C145,'Test Cases'!$L$5:$L$500,"Blocked")</f>
        <v>0</v>
      </c>
    </row>
    <row r="146">
      <c r="A146" t="str">
        <v>F-142</v>
      </c>
      <c r="B146" t="str">
        <v>Government Jobs</v>
      </c>
      <c r="C146" t="str">
        <v>Fee exemption</v>
      </c>
      <c r="D146" t="str">
        <v>Functional</v>
      </c>
      <c r="E146" t="str">
        <v>High</v>
      </c>
      <c r="F146" t="str">
        <v>Core</v>
      </c>
      <c r="G146">
        <f>COUNTIFS('Test Cases'!$B$5:$B$500,B146,'Test Cases'!$C$5:$C$500,C146)</f>
        <v>1</v>
      </c>
      <c r="H146">
        <f>COUNTIFS('Test Cases'!$B$5:$B$500,B146,'Test Cases'!$C$5:$C$500,C146,'Test Cases'!$L$5:$L$500,"&lt;&gt;Not Run")</f>
        <v>0</v>
      </c>
      <c r="I146">
        <f>COUNTIFS('Test Cases'!$B$5:$B$500,B146,'Test Cases'!$C$5:$C$500,C146,'Test Cases'!$L$5:$L$500,"Pass")</f>
        <v>0</v>
      </c>
      <c r="J146">
        <f>COUNTIFS('Test Cases'!$B$5:$B$500,B146,'Test Cases'!$C$5:$C$500,C146,'Test Cases'!$L$5:$L$500,"Fail")</f>
        <v>0</v>
      </c>
      <c r="K146">
        <f>COUNTIFS('Test Cases'!$B$5:$B$500,B146,'Test Cases'!$C$5:$C$500,C146,'Test Cases'!$L$5:$L$500,"Blocked")</f>
        <v>0</v>
      </c>
    </row>
    <row r="147">
      <c r="A147" t="str">
        <v>F-143</v>
      </c>
      <c r="B147" t="str">
        <v>Government Jobs</v>
      </c>
      <c r="C147" t="str">
        <v>Selection process</v>
      </c>
      <c r="D147" t="str">
        <v>Data Quality</v>
      </c>
      <c r="E147" t="str">
        <v>Medium</v>
      </c>
      <c r="F147" t="str">
        <v>Core</v>
      </c>
      <c r="G147">
        <f>COUNTIFS('Test Cases'!$B$5:$B$500,B147,'Test Cases'!$C$5:$C$500,C147)</f>
        <v>1</v>
      </c>
      <c r="H147">
        <f>COUNTIFS('Test Cases'!$B$5:$B$500,B147,'Test Cases'!$C$5:$C$500,C147,'Test Cases'!$L$5:$L$500,"&lt;&gt;Not Run")</f>
        <v>0</v>
      </c>
      <c r="I147">
        <f>COUNTIFS('Test Cases'!$B$5:$B$500,B147,'Test Cases'!$C$5:$C$500,C147,'Test Cases'!$L$5:$L$500,"Pass")</f>
        <v>0</v>
      </c>
      <c r="J147">
        <f>COUNTIFS('Test Cases'!$B$5:$B$500,B147,'Test Cases'!$C$5:$C$500,C147,'Test Cases'!$L$5:$L$500,"Fail")</f>
        <v>0</v>
      </c>
      <c r="K147">
        <f>COUNTIFS('Test Cases'!$B$5:$B$500,B147,'Test Cases'!$C$5:$C$500,C147,'Test Cases'!$L$5:$L$500,"Blocked")</f>
        <v>0</v>
      </c>
    </row>
    <row r="148">
      <c r="A148" t="str">
        <v>F-144</v>
      </c>
      <c r="B148" t="str">
        <v>Government Jobs</v>
      </c>
      <c r="C148" t="str">
        <v>Exam date</v>
      </c>
      <c r="D148" t="str">
        <v>Data Quality</v>
      </c>
      <c r="E148" t="str">
        <v>High</v>
      </c>
      <c r="F148" t="str">
        <v>Core</v>
      </c>
      <c r="G148">
        <f>COUNTIFS('Test Cases'!$B$5:$B$500,B148,'Test Cases'!$C$5:$C$500,C148)</f>
        <v>1</v>
      </c>
      <c r="H148">
        <f>COUNTIFS('Test Cases'!$B$5:$B$500,B148,'Test Cases'!$C$5:$C$500,C148,'Test Cases'!$L$5:$L$500,"&lt;&gt;Not Run")</f>
        <v>0</v>
      </c>
      <c r="I148">
        <f>COUNTIFS('Test Cases'!$B$5:$B$500,B148,'Test Cases'!$C$5:$C$500,C148,'Test Cases'!$L$5:$L$500,"Pass")</f>
        <v>0</v>
      </c>
      <c r="J148">
        <f>COUNTIFS('Test Cases'!$B$5:$B$500,B148,'Test Cases'!$C$5:$C$500,C148,'Test Cases'!$L$5:$L$500,"Fail")</f>
        <v>0</v>
      </c>
      <c r="K148">
        <f>COUNTIFS('Test Cases'!$B$5:$B$500,B148,'Test Cases'!$C$5:$C$500,C148,'Test Cases'!$L$5:$L$500,"Blocked")</f>
        <v>0</v>
      </c>
    </row>
    <row r="149">
      <c r="A149" t="str">
        <v>F-145</v>
      </c>
      <c r="B149" t="str">
        <v>Government Jobs</v>
      </c>
      <c r="C149" t="str">
        <v>Admit card date/link</v>
      </c>
      <c r="D149" t="str">
        <v>Functional</v>
      </c>
      <c r="E149" t="str">
        <v>High</v>
      </c>
      <c r="F149" t="str">
        <v>Core</v>
      </c>
      <c r="G149">
        <f>COUNTIFS('Test Cases'!$B$5:$B$500,B149,'Test Cases'!$C$5:$C$500,C149)</f>
        <v>1</v>
      </c>
      <c r="H149">
        <f>COUNTIFS('Test Cases'!$B$5:$B$500,B149,'Test Cases'!$C$5:$C$500,C149,'Test Cases'!$L$5:$L$500,"&lt;&gt;Not Run")</f>
        <v>0</v>
      </c>
      <c r="I149">
        <f>COUNTIFS('Test Cases'!$B$5:$B$500,B149,'Test Cases'!$C$5:$C$500,C149,'Test Cases'!$L$5:$L$500,"Pass")</f>
        <v>0</v>
      </c>
      <c r="J149">
        <f>COUNTIFS('Test Cases'!$B$5:$B$500,B149,'Test Cases'!$C$5:$C$500,C149,'Test Cases'!$L$5:$L$500,"Fail")</f>
        <v>0</v>
      </c>
      <c r="K149">
        <f>COUNTIFS('Test Cases'!$B$5:$B$500,B149,'Test Cases'!$C$5:$C$500,C149,'Test Cases'!$L$5:$L$500,"Blocked")</f>
        <v>0</v>
      </c>
    </row>
    <row r="150">
      <c r="A150" t="str">
        <v>F-146</v>
      </c>
      <c r="B150" t="str">
        <v>Government Jobs</v>
      </c>
      <c r="C150" t="str">
        <v>Result date/link</v>
      </c>
      <c r="D150" t="str">
        <v>Functional</v>
      </c>
      <c r="E150" t="str">
        <v>High</v>
      </c>
      <c r="F150" t="str">
        <v>Core</v>
      </c>
      <c r="G150">
        <f>COUNTIFS('Test Cases'!$B$5:$B$500,B150,'Test Cases'!$C$5:$C$500,C150)</f>
        <v>1</v>
      </c>
      <c r="H150">
        <f>COUNTIFS('Test Cases'!$B$5:$B$500,B150,'Test Cases'!$C$5:$C$500,C150,'Test Cases'!$L$5:$L$500,"&lt;&gt;Not Run")</f>
        <v>0</v>
      </c>
      <c r="I150">
        <f>COUNTIFS('Test Cases'!$B$5:$B$500,B150,'Test Cases'!$C$5:$C$500,C150,'Test Cases'!$L$5:$L$500,"Pass")</f>
        <v>0</v>
      </c>
      <c r="J150">
        <f>COUNTIFS('Test Cases'!$B$5:$B$500,B150,'Test Cases'!$C$5:$C$500,C150,'Test Cases'!$L$5:$L$500,"Fail")</f>
        <v>0</v>
      </c>
      <c r="K150">
        <f>COUNTIFS('Test Cases'!$B$5:$B$500,B150,'Test Cases'!$C$5:$C$500,C150,'Test Cases'!$L$5:$L$500,"Blocked")</f>
        <v>0</v>
      </c>
    </row>
    <row r="151">
      <c r="A151" t="str">
        <v>F-147</v>
      </c>
      <c r="B151" t="str">
        <v>Government Jobs</v>
      </c>
      <c r="C151" t="str">
        <v>Official notification link</v>
      </c>
      <c r="D151" t="str">
        <v>Critical</v>
      </c>
      <c r="E151" t="str">
        <v>Critical</v>
      </c>
      <c r="F151" t="str">
        <v>Core</v>
      </c>
      <c r="G151">
        <f>COUNTIFS('Test Cases'!$B$5:$B$500,B151,'Test Cases'!$C$5:$C$500,C151)</f>
        <v>1</v>
      </c>
      <c r="H151">
        <f>COUNTIFS('Test Cases'!$B$5:$B$500,B151,'Test Cases'!$C$5:$C$500,C151,'Test Cases'!$L$5:$L$500,"&lt;&gt;Not Run")</f>
        <v>0</v>
      </c>
      <c r="I151">
        <f>COUNTIFS('Test Cases'!$B$5:$B$500,B151,'Test Cases'!$C$5:$C$500,C151,'Test Cases'!$L$5:$L$500,"Pass")</f>
        <v>0</v>
      </c>
      <c r="J151">
        <f>COUNTIFS('Test Cases'!$B$5:$B$500,B151,'Test Cases'!$C$5:$C$500,C151,'Test Cases'!$L$5:$L$500,"Fail")</f>
        <v>0</v>
      </c>
      <c r="K151">
        <f>COUNTIFS('Test Cases'!$B$5:$B$500,B151,'Test Cases'!$C$5:$C$500,C151,'Test Cases'!$L$5:$L$500,"Blocked")</f>
        <v>0</v>
      </c>
    </row>
    <row r="152">
      <c r="A152" t="str">
        <v>F-148</v>
      </c>
      <c r="B152" t="str">
        <v>Government Jobs</v>
      </c>
      <c r="C152" t="str">
        <v>Official website domain</v>
      </c>
      <c r="D152" t="str">
        <v>Security</v>
      </c>
      <c r="E152" t="str">
        <v>Critical</v>
      </c>
      <c r="F152" t="str">
        <v>Core</v>
      </c>
      <c r="G152">
        <f>COUNTIFS('Test Cases'!$B$5:$B$500,B152,'Test Cases'!$C$5:$C$500,C152)</f>
        <v>1</v>
      </c>
      <c r="H152">
        <f>COUNTIFS('Test Cases'!$B$5:$B$500,B152,'Test Cases'!$C$5:$C$500,C152,'Test Cases'!$L$5:$L$500,"&lt;&gt;Not Run")</f>
        <v>0</v>
      </c>
      <c r="I152">
        <f>COUNTIFS('Test Cases'!$B$5:$B$500,B152,'Test Cases'!$C$5:$C$500,C152,'Test Cases'!$L$5:$L$500,"Pass")</f>
        <v>0</v>
      </c>
      <c r="J152">
        <f>COUNTIFS('Test Cases'!$B$5:$B$500,B152,'Test Cases'!$C$5:$C$500,C152,'Test Cases'!$L$5:$L$500,"Fail")</f>
        <v>0</v>
      </c>
      <c r="K152">
        <f>COUNTIFS('Test Cases'!$B$5:$B$500,B152,'Test Cases'!$C$5:$C$500,C152,'Test Cases'!$L$5:$L$500,"Blocked")</f>
        <v>0</v>
      </c>
    </row>
    <row r="153">
      <c r="A153" t="str">
        <v>F-149</v>
      </c>
      <c r="B153" t="str">
        <v>Government Jobs</v>
      </c>
      <c r="C153" t="str">
        <v>Qualification boundary</v>
      </c>
      <c r="D153" t="str">
        <v>Boundary</v>
      </c>
      <c r="E153" t="str">
        <v>High</v>
      </c>
      <c r="F153" t="str">
        <v>Core</v>
      </c>
      <c r="G153">
        <f>COUNTIFS('Test Cases'!$B$5:$B$500,B153,'Test Cases'!$C$5:$C$500,C153)</f>
        <v>1</v>
      </c>
      <c r="H153">
        <f>COUNTIFS('Test Cases'!$B$5:$B$500,B153,'Test Cases'!$C$5:$C$500,C153,'Test Cases'!$L$5:$L$500,"&lt;&gt;Not Run")</f>
        <v>0</v>
      </c>
      <c r="I153">
        <f>COUNTIFS('Test Cases'!$B$5:$B$500,B153,'Test Cases'!$C$5:$C$500,C153,'Test Cases'!$L$5:$L$500,"Pass")</f>
        <v>0</v>
      </c>
      <c r="J153">
        <f>COUNTIFS('Test Cases'!$B$5:$B$500,B153,'Test Cases'!$C$5:$C$500,C153,'Test Cases'!$L$5:$L$500,"Fail")</f>
        <v>0</v>
      </c>
      <c r="K153">
        <f>COUNTIFS('Test Cases'!$B$5:$B$500,B153,'Test Cases'!$C$5:$C$500,C153,'Test Cases'!$L$5:$L$500,"Blocked")</f>
        <v>0</v>
      </c>
    </row>
    <row r="154">
      <c r="A154" t="str">
        <v>F-150</v>
      </c>
      <c r="B154" t="str">
        <v>Government Jobs</v>
      </c>
      <c r="C154" t="str">
        <v>State/location classification</v>
      </c>
      <c r="D154" t="str">
        <v>Data Quality</v>
      </c>
      <c r="E154" t="str">
        <v>High</v>
      </c>
      <c r="F154" t="str">
        <v>Core</v>
      </c>
      <c r="G154">
        <f>COUNTIFS('Test Cases'!$B$5:$B$500,B154,'Test Cases'!$C$5:$C$500,C154)</f>
        <v>1</v>
      </c>
      <c r="H154">
        <f>COUNTIFS('Test Cases'!$B$5:$B$500,B154,'Test Cases'!$C$5:$C$500,C154,'Test Cases'!$L$5:$L$500,"&lt;&gt;Not Run")</f>
        <v>0</v>
      </c>
      <c r="I154">
        <f>COUNTIFS('Test Cases'!$B$5:$B$500,B154,'Test Cases'!$C$5:$C$500,C154,'Test Cases'!$L$5:$L$500,"Pass")</f>
        <v>0</v>
      </c>
      <c r="J154">
        <f>COUNTIFS('Test Cases'!$B$5:$B$500,B154,'Test Cases'!$C$5:$C$500,C154,'Test Cases'!$L$5:$L$500,"Fail")</f>
        <v>0</v>
      </c>
      <c r="K154">
        <f>COUNTIFS('Test Cases'!$B$5:$B$500,B154,'Test Cases'!$C$5:$C$500,C154,'Test Cases'!$L$5:$L$500,"Blocked")</f>
        <v>0</v>
      </c>
    </row>
    <row r="155">
      <c r="A155" t="str">
        <v>F-151</v>
      </c>
      <c r="B155" t="str">
        <v>Government Jobs</v>
      </c>
      <c r="C155" t="str">
        <v>Job status after source closure</v>
      </c>
      <c r="D155" t="str">
        <v>Integration</v>
      </c>
      <c r="E155" t="str">
        <v>Critical</v>
      </c>
      <c r="F155" t="str">
        <v>Core</v>
      </c>
      <c r="G155">
        <f>COUNTIFS('Test Cases'!$B$5:$B$500,B155,'Test Cases'!$C$5:$C$500,C155)</f>
        <v>1</v>
      </c>
      <c r="H155">
        <f>COUNTIFS('Test Cases'!$B$5:$B$500,B155,'Test Cases'!$C$5:$C$500,C155,'Test Cases'!$L$5:$L$500,"&lt;&gt;Not Run")</f>
        <v>0</v>
      </c>
      <c r="I155">
        <f>COUNTIFS('Test Cases'!$B$5:$B$500,B155,'Test Cases'!$C$5:$C$500,C155,'Test Cases'!$L$5:$L$500,"Pass")</f>
        <v>0</v>
      </c>
      <c r="J155">
        <f>COUNTIFS('Test Cases'!$B$5:$B$500,B155,'Test Cases'!$C$5:$C$500,C155,'Test Cases'!$L$5:$L$500,"Fail")</f>
        <v>0</v>
      </c>
      <c r="K155">
        <f>COUNTIFS('Test Cases'!$B$5:$B$500,B155,'Test Cases'!$C$5:$C$500,C155,'Test Cases'!$L$5:$L$500,"Blocked")</f>
        <v>0</v>
      </c>
    </row>
    <row r="156">
      <c r="A156" t="str">
        <v>F-152</v>
      </c>
      <c r="B156" t="str">
        <v>Government Jobs</v>
      </c>
      <c r="C156" t="str">
        <v>Government job duplicate</v>
      </c>
      <c r="D156" t="str">
        <v>Data Quality</v>
      </c>
      <c r="E156" t="str">
        <v>High</v>
      </c>
      <c r="F156" t="str">
        <v>Core</v>
      </c>
      <c r="G156">
        <f>COUNTIFS('Test Cases'!$B$5:$B$500,B156,'Test Cases'!$C$5:$C$500,C156)</f>
        <v>1</v>
      </c>
      <c r="H156">
        <f>COUNTIFS('Test Cases'!$B$5:$B$500,B156,'Test Cases'!$C$5:$C$500,C156,'Test Cases'!$L$5:$L$500,"&lt;&gt;Not Run")</f>
        <v>0</v>
      </c>
      <c r="I156">
        <f>COUNTIFS('Test Cases'!$B$5:$B$500,B156,'Test Cases'!$C$5:$C$500,C156,'Test Cases'!$L$5:$L$500,"Pass")</f>
        <v>0</v>
      </c>
      <c r="J156">
        <f>COUNTIFS('Test Cases'!$B$5:$B$500,B156,'Test Cases'!$C$5:$C$500,C156,'Test Cases'!$L$5:$L$500,"Fail")</f>
        <v>0</v>
      </c>
      <c r="K156">
        <f>COUNTIFS('Test Cases'!$B$5:$B$500,B156,'Test Cases'!$C$5:$C$500,C156,'Test Cases'!$L$5:$L$500,"Blocked")</f>
        <v>0</v>
      </c>
    </row>
    <row r="157">
      <c r="A157" t="str">
        <v>F-153</v>
      </c>
      <c r="B157" t="str">
        <v>Government Jobs</v>
      </c>
      <c r="C157" t="str">
        <v>Govt search/filter accuracy</v>
      </c>
      <c r="D157" t="str">
        <v>Functional</v>
      </c>
      <c r="E157" t="str">
        <v>Critical</v>
      </c>
      <c r="F157" t="str">
        <v>Core</v>
      </c>
      <c r="G157">
        <f>COUNTIFS('Test Cases'!$B$5:$B$500,B157,'Test Cases'!$C$5:$C$500,C157)</f>
        <v>1</v>
      </c>
      <c r="H157">
        <f>COUNTIFS('Test Cases'!$B$5:$B$500,B157,'Test Cases'!$C$5:$C$500,C157,'Test Cases'!$L$5:$L$500,"&lt;&gt;Not Run")</f>
        <v>0</v>
      </c>
      <c r="I157">
        <f>COUNTIFS('Test Cases'!$B$5:$B$500,B157,'Test Cases'!$C$5:$C$500,C157,'Test Cases'!$L$5:$L$500,"Pass")</f>
        <v>0</v>
      </c>
      <c r="J157">
        <f>COUNTIFS('Test Cases'!$B$5:$B$500,B157,'Test Cases'!$C$5:$C$500,C157,'Test Cases'!$L$5:$L$500,"Fail")</f>
        <v>0</v>
      </c>
      <c r="K157">
        <f>COUNTIFS('Test Cases'!$B$5:$B$500,B157,'Test Cases'!$C$5:$C$500,C157,'Test Cases'!$L$5:$L$500,"Blocked")</f>
        <v>0</v>
      </c>
    </row>
    <row r="158">
      <c r="A158" t="str">
        <v>F-154</v>
      </c>
      <c r="B158" t="str">
        <v>Applications</v>
      </c>
      <c r="C158" t="str">
        <v>Save job</v>
      </c>
      <c r="D158" t="str">
        <v>Functional</v>
      </c>
      <c r="E158" t="str">
        <v>High</v>
      </c>
      <c r="F158" t="str">
        <v>Conditional</v>
      </c>
      <c r="G158">
        <f>COUNTIFS('Test Cases'!$B$5:$B$500,B158,'Test Cases'!$C$5:$C$500,C158)</f>
        <v>1</v>
      </c>
      <c r="H158">
        <f>COUNTIFS('Test Cases'!$B$5:$B$500,B158,'Test Cases'!$C$5:$C$500,C158,'Test Cases'!$L$5:$L$500,"&lt;&gt;Not Run")</f>
        <v>0</v>
      </c>
      <c r="I158">
        <f>COUNTIFS('Test Cases'!$B$5:$B$500,B158,'Test Cases'!$C$5:$C$500,C158,'Test Cases'!$L$5:$L$500,"Pass")</f>
        <v>0</v>
      </c>
      <c r="J158">
        <f>COUNTIFS('Test Cases'!$B$5:$B$500,B158,'Test Cases'!$C$5:$C$500,C158,'Test Cases'!$L$5:$L$500,"Fail")</f>
        <v>0</v>
      </c>
      <c r="K158">
        <f>COUNTIFS('Test Cases'!$B$5:$B$500,B158,'Test Cases'!$C$5:$C$500,C158,'Test Cases'!$L$5:$L$500,"Blocked")</f>
        <v>0</v>
      </c>
    </row>
    <row r="159">
      <c r="A159" t="str">
        <v>F-155</v>
      </c>
      <c r="B159" t="str">
        <v>Applications</v>
      </c>
      <c r="C159" t="str">
        <v>Unsave job</v>
      </c>
      <c r="D159" t="str">
        <v>Functional</v>
      </c>
      <c r="E159" t="str">
        <v>Medium</v>
      </c>
      <c r="F159" t="str">
        <v>Conditional</v>
      </c>
      <c r="G159">
        <f>COUNTIFS('Test Cases'!$B$5:$B$500,B159,'Test Cases'!$C$5:$C$500,C159)</f>
        <v>1</v>
      </c>
      <c r="H159">
        <f>COUNTIFS('Test Cases'!$B$5:$B$500,B159,'Test Cases'!$C$5:$C$500,C159,'Test Cases'!$L$5:$L$500,"&lt;&gt;Not Run")</f>
        <v>0</v>
      </c>
      <c r="I159">
        <f>COUNTIFS('Test Cases'!$B$5:$B$500,B159,'Test Cases'!$C$5:$C$500,C159,'Test Cases'!$L$5:$L$500,"Pass")</f>
        <v>0</v>
      </c>
      <c r="J159">
        <f>COUNTIFS('Test Cases'!$B$5:$B$500,B159,'Test Cases'!$C$5:$C$500,C159,'Test Cases'!$L$5:$L$500,"Fail")</f>
        <v>0</v>
      </c>
      <c r="K159">
        <f>COUNTIFS('Test Cases'!$B$5:$B$500,B159,'Test Cases'!$C$5:$C$500,C159,'Test Cases'!$L$5:$L$500,"Blocked")</f>
        <v>0</v>
      </c>
    </row>
    <row r="160">
      <c r="A160" t="str">
        <v>F-156</v>
      </c>
      <c r="B160" t="str">
        <v>Applications</v>
      </c>
      <c r="C160" t="str">
        <v>Duplicate save</v>
      </c>
      <c r="D160" t="str">
        <v>Negative</v>
      </c>
      <c r="E160" t="str">
        <v>Medium</v>
      </c>
      <c r="F160" t="str">
        <v>Conditional</v>
      </c>
      <c r="G160">
        <f>COUNTIFS('Test Cases'!$B$5:$B$500,B160,'Test Cases'!$C$5:$C$500,C160)</f>
        <v>1</v>
      </c>
      <c r="H160">
        <f>COUNTIFS('Test Cases'!$B$5:$B$500,B160,'Test Cases'!$C$5:$C$500,C160,'Test Cases'!$L$5:$L$500,"&lt;&gt;Not Run")</f>
        <v>0</v>
      </c>
      <c r="I160">
        <f>COUNTIFS('Test Cases'!$B$5:$B$500,B160,'Test Cases'!$C$5:$C$500,C160,'Test Cases'!$L$5:$L$500,"Pass")</f>
        <v>0</v>
      </c>
      <c r="J160">
        <f>COUNTIFS('Test Cases'!$B$5:$B$500,B160,'Test Cases'!$C$5:$C$500,C160,'Test Cases'!$L$5:$L$500,"Fail")</f>
        <v>0</v>
      </c>
      <c r="K160">
        <f>COUNTIFS('Test Cases'!$B$5:$B$500,B160,'Test Cases'!$C$5:$C$500,C160,'Test Cases'!$L$5:$L$500,"Blocked")</f>
        <v>0</v>
      </c>
    </row>
    <row r="161">
      <c r="A161" t="str">
        <v>F-157</v>
      </c>
      <c r="B161" t="str">
        <v>Applications</v>
      </c>
      <c r="C161" t="str">
        <v>Saved jobs persistence</v>
      </c>
      <c r="D161" t="str">
        <v>Functional</v>
      </c>
      <c r="E161" t="str">
        <v>High</v>
      </c>
      <c r="F161" t="str">
        <v>Conditional</v>
      </c>
      <c r="G161">
        <f>COUNTIFS('Test Cases'!$B$5:$B$500,B161,'Test Cases'!$C$5:$C$500,C161)</f>
        <v>1</v>
      </c>
      <c r="H161">
        <f>COUNTIFS('Test Cases'!$B$5:$B$500,B161,'Test Cases'!$C$5:$C$500,C161,'Test Cases'!$L$5:$L$500,"&lt;&gt;Not Run")</f>
        <v>0</v>
      </c>
      <c r="I161">
        <f>COUNTIFS('Test Cases'!$B$5:$B$500,B161,'Test Cases'!$C$5:$C$500,C161,'Test Cases'!$L$5:$L$500,"Pass")</f>
        <v>0</v>
      </c>
      <c r="J161">
        <f>COUNTIFS('Test Cases'!$B$5:$B$500,B161,'Test Cases'!$C$5:$C$500,C161,'Test Cases'!$L$5:$L$500,"Fail")</f>
        <v>0</v>
      </c>
      <c r="K161">
        <f>COUNTIFS('Test Cases'!$B$5:$B$500,B161,'Test Cases'!$C$5:$C$500,C161,'Test Cases'!$L$5:$L$500,"Blocked")</f>
        <v>0</v>
      </c>
    </row>
    <row r="162">
      <c r="A162" t="str">
        <v>F-158</v>
      </c>
      <c r="B162" t="str">
        <v>Applications</v>
      </c>
      <c r="C162" t="str">
        <v>Saved expired job</v>
      </c>
      <c r="D162" t="str">
        <v>Functional</v>
      </c>
      <c r="E162" t="str">
        <v>Medium</v>
      </c>
      <c r="F162" t="str">
        <v>Conditional</v>
      </c>
      <c r="G162">
        <f>COUNTIFS('Test Cases'!$B$5:$B$500,B162,'Test Cases'!$C$5:$C$500,C162)</f>
        <v>1</v>
      </c>
      <c r="H162">
        <f>COUNTIFS('Test Cases'!$B$5:$B$500,B162,'Test Cases'!$C$5:$C$500,C162,'Test Cases'!$L$5:$L$500,"&lt;&gt;Not Run")</f>
        <v>0</v>
      </c>
      <c r="I162">
        <f>COUNTIFS('Test Cases'!$B$5:$B$500,B162,'Test Cases'!$C$5:$C$500,C162,'Test Cases'!$L$5:$L$500,"Pass")</f>
        <v>0</v>
      </c>
      <c r="J162">
        <f>COUNTIFS('Test Cases'!$B$5:$B$500,B162,'Test Cases'!$C$5:$C$500,C162,'Test Cases'!$L$5:$L$500,"Fail")</f>
        <v>0</v>
      </c>
      <c r="K162">
        <f>COUNTIFS('Test Cases'!$B$5:$B$500,B162,'Test Cases'!$C$5:$C$500,C162,'Test Cases'!$L$5:$L$500,"Blocked")</f>
        <v>0</v>
      </c>
    </row>
    <row r="163">
      <c r="A163" t="str">
        <v>F-159</v>
      </c>
      <c r="B163" t="str">
        <v>Applications</v>
      </c>
      <c r="C163" t="str">
        <v>Application handoff status</v>
      </c>
      <c r="D163" t="str">
        <v>Functional</v>
      </c>
      <c r="E163" t="str">
        <v>Critical</v>
      </c>
      <c r="F163" t="str">
        <v>Conditional</v>
      </c>
      <c r="G163">
        <f>COUNTIFS('Test Cases'!$B$5:$B$500,B163,'Test Cases'!$C$5:$C$500,C163)</f>
        <v>1</v>
      </c>
      <c r="H163">
        <f>COUNTIFS('Test Cases'!$B$5:$B$500,B163,'Test Cases'!$C$5:$C$500,C163,'Test Cases'!$L$5:$L$500,"&lt;&gt;Not Run")</f>
        <v>0</v>
      </c>
      <c r="I163">
        <f>COUNTIFS('Test Cases'!$B$5:$B$500,B163,'Test Cases'!$C$5:$C$500,C163,'Test Cases'!$L$5:$L$500,"Pass")</f>
        <v>0</v>
      </c>
      <c r="J163">
        <f>COUNTIFS('Test Cases'!$B$5:$B$500,B163,'Test Cases'!$C$5:$C$500,C163,'Test Cases'!$L$5:$L$500,"Fail")</f>
        <v>0</v>
      </c>
      <c r="K163">
        <f>COUNTIFS('Test Cases'!$B$5:$B$500,B163,'Test Cases'!$C$5:$C$500,C163,'Test Cases'!$L$5:$L$500,"Blocked")</f>
        <v>0</v>
      </c>
    </row>
    <row r="164">
      <c r="A164" t="str">
        <v>F-160</v>
      </c>
      <c r="B164" t="str">
        <v>Applications</v>
      </c>
      <c r="C164" t="str">
        <v>Duplicate application</v>
      </c>
      <c r="D164" t="str">
        <v>Negative</v>
      </c>
      <c r="E164" t="str">
        <v>Critical</v>
      </c>
      <c r="F164" t="str">
        <v>Conditional</v>
      </c>
      <c r="G164">
        <f>COUNTIFS('Test Cases'!$B$5:$B$500,B164,'Test Cases'!$C$5:$C$500,C164)</f>
        <v>1</v>
      </c>
      <c r="H164">
        <f>COUNTIFS('Test Cases'!$B$5:$B$500,B164,'Test Cases'!$C$5:$C$500,C164,'Test Cases'!$L$5:$L$500,"&lt;&gt;Not Run")</f>
        <v>0</v>
      </c>
      <c r="I164">
        <f>COUNTIFS('Test Cases'!$B$5:$B$500,B164,'Test Cases'!$C$5:$C$500,C164,'Test Cases'!$L$5:$L$500,"Pass")</f>
        <v>0</v>
      </c>
      <c r="J164">
        <f>COUNTIFS('Test Cases'!$B$5:$B$500,B164,'Test Cases'!$C$5:$C$500,C164,'Test Cases'!$L$5:$L$500,"Fail")</f>
        <v>0</v>
      </c>
      <c r="K164">
        <f>COUNTIFS('Test Cases'!$B$5:$B$500,B164,'Test Cases'!$C$5:$C$500,C164,'Test Cases'!$L$5:$L$500,"Blocked")</f>
        <v>0</v>
      </c>
    </row>
    <row r="165">
      <c r="A165" t="str">
        <v>F-161</v>
      </c>
      <c r="B165" t="str">
        <v>Applications</v>
      </c>
      <c r="C165" t="str">
        <v>Application confirmation</v>
      </c>
      <c r="D165" t="str">
        <v>Functional</v>
      </c>
      <c r="E165" t="str">
        <v>High</v>
      </c>
      <c r="F165" t="str">
        <v>Conditional</v>
      </c>
      <c r="G165">
        <f>COUNTIFS('Test Cases'!$B$5:$B$500,B165,'Test Cases'!$C$5:$C$500,C165)</f>
        <v>1</v>
      </c>
      <c r="H165">
        <f>COUNTIFS('Test Cases'!$B$5:$B$500,B165,'Test Cases'!$C$5:$C$500,C165,'Test Cases'!$L$5:$L$500,"&lt;&gt;Not Run")</f>
        <v>0</v>
      </c>
      <c r="I165">
        <f>COUNTIFS('Test Cases'!$B$5:$B$500,B165,'Test Cases'!$C$5:$C$500,C165,'Test Cases'!$L$5:$L$500,"Pass")</f>
        <v>0</v>
      </c>
      <c r="J165">
        <f>COUNTIFS('Test Cases'!$B$5:$B$500,B165,'Test Cases'!$C$5:$C$500,C165,'Test Cases'!$L$5:$L$500,"Fail")</f>
        <v>0</v>
      </c>
      <c r="K165">
        <f>COUNTIFS('Test Cases'!$B$5:$B$500,B165,'Test Cases'!$C$5:$C$500,C165,'Test Cases'!$L$5:$L$500,"Blocked")</f>
        <v>0</v>
      </c>
    </row>
    <row r="166">
      <c r="A166" t="str">
        <v>F-162</v>
      </c>
      <c r="B166" t="str">
        <v>Applications</v>
      </c>
      <c r="C166" t="str">
        <v>Application history</v>
      </c>
      <c r="D166" t="str">
        <v>Functional</v>
      </c>
      <c r="E166" t="str">
        <v>High</v>
      </c>
      <c r="F166" t="str">
        <v>Conditional</v>
      </c>
      <c r="G166">
        <f>COUNTIFS('Test Cases'!$B$5:$B$500,B166,'Test Cases'!$C$5:$C$500,C166)</f>
        <v>1</v>
      </c>
      <c r="H166">
        <f>COUNTIFS('Test Cases'!$B$5:$B$500,B166,'Test Cases'!$C$5:$C$500,C166,'Test Cases'!$L$5:$L$500,"&lt;&gt;Not Run")</f>
        <v>0</v>
      </c>
      <c r="I166">
        <f>COUNTIFS('Test Cases'!$B$5:$B$500,B166,'Test Cases'!$C$5:$C$500,C166,'Test Cases'!$L$5:$L$500,"Pass")</f>
        <v>0</v>
      </c>
      <c r="J166">
        <f>COUNTIFS('Test Cases'!$B$5:$B$500,B166,'Test Cases'!$C$5:$C$500,C166,'Test Cases'!$L$5:$L$500,"Fail")</f>
        <v>0</v>
      </c>
      <c r="K166">
        <f>COUNTIFS('Test Cases'!$B$5:$B$500,B166,'Test Cases'!$C$5:$C$500,C166,'Test Cases'!$L$5:$L$500,"Blocked")</f>
        <v>0</v>
      </c>
    </row>
    <row r="167">
      <c r="A167" t="str">
        <v>F-163</v>
      </c>
      <c r="B167" t="str">
        <v>Applications</v>
      </c>
      <c r="C167" t="str">
        <v>Withdraw application if supported</v>
      </c>
      <c r="D167" t="str">
        <v>Functional</v>
      </c>
      <c r="E167" t="str">
        <v>Medium</v>
      </c>
      <c r="F167" t="str">
        <v>Conditional</v>
      </c>
      <c r="G167">
        <f>COUNTIFS('Test Cases'!$B$5:$B$500,B167,'Test Cases'!$C$5:$C$500,C167)</f>
        <v>1</v>
      </c>
      <c r="H167">
        <f>COUNTIFS('Test Cases'!$B$5:$B$500,B167,'Test Cases'!$C$5:$C$500,C167,'Test Cases'!$L$5:$L$500,"&lt;&gt;Not Run")</f>
        <v>0</v>
      </c>
      <c r="I167">
        <f>COUNTIFS('Test Cases'!$B$5:$B$500,B167,'Test Cases'!$C$5:$C$500,C167,'Test Cases'!$L$5:$L$500,"Pass")</f>
        <v>0</v>
      </c>
      <c r="J167">
        <f>COUNTIFS('Test Cases'!$B$5:$B$500,B167,'Test Cases'!$C$5:$C$500,C167,'Test Cases'!$L$5:$L$500,"Fail")</f>
        <v>0</v>
      </c>
      <c r="K167">
        <f>COUNTIFS('Test Cases'!$B$5:$B$500,B167,'Test Cases'!$C$5:$C$500,C167,'Test Cases'!$L$5:$L$500,"Blocked")</f>
        <v>0</v>
      </c>
    </row>
    <row r="168">
      <c r="A168" t="str">
        <v>F-164</v>
      </c>
      <c r="B168" t="str">
        <v>Applications</v>
      </c>
      <c r="C168" t="str">
        <v>Email notification link</v>
      </c>
      <c r="D168" t="str">
        <v>Functional</v>
      </c>
      <c r="E168" t="str">
        <v>Medium</v>
      </c>
      <c r="F168" t="str">
        <v>Conditional</v>
      </c>
      <c r="G168">
        <f>COUNTIFS('Test Cases'!$B$5:$B$500,B168,'Test Cases'!$C$5:$C$500,C168)</f>
        <v>1</v>
      </c>
      <c r="H168">
        <f>COUNTIFS('Test Cases'!$B$5:$B$500,B168,'Test Cases'!$C$5:$C$500,C168,'Test Cases'!$L$5:$L$500,"&lt;&gt;Not Run")</f>
        <v>0</v>
      </c>
      <c r="I168">
        <f>COUNTIFS('Test Cases'!$B$5:$B$500,B168,'Test Cases'!$C$5:$C$500,C168,'Test Cases'!$L$5:$L$500,"Pass")</f>
        <v>0</v>
      </c>
      <c r="J168">
        <f>COUNTIFS('Test Cases'!$B$5:$B$500,B168,'Test Cases'!$C$5:$C$500,C168,'Test Cases'!$L$5:$L$500,"Fail")</f>
        <v>0</v>
      </c>
      <c r="K168">
        <f>COUNTIFS('Test Cases'!$B$5:$B$500,B168,'Test Cases'!$C$5:$C$500,C168,'Test Cases'!$L$5:$L$500,"Blocked")</f>
        <v>0</v>
      </c>
    </row>
    <row r="169">
      <c r="A169" t="str">
        <v>F-165</v>
      </c>
      <c r="B169" t="str">
        <v>Applications</v>
      </c>
      <c r="C169" t="str">
        <v>Notification duplicate</v>
      </c>
      <c r="D169" t="str">
        <v>Negative</v>
      </c>
      <c r="E169" t="str">
        <v>Low</v>
      </c>
      <c r="F169" t="str">
        <v>Conditional</v>
      </c>
      <c r="G169">
        <f>COUNTIFS('Test Cases'!$B$5:$B$500,B169,'Test Cases'!$C$5:$C$500,C169)</f>
        <v>1</v>
      </c>
      <c r="H169">
        <f>COUNTIFS('Test Cases'!$B$5:$B$500,B169,'Test Cases'!$C$5:$C$500,C169,'Test Cases'!$L$5:$L$500,"&lt;&gt;Not Run")</f>
        <v>0</v>
      </c>
      <c r="I169">
        <f>COUNTIFS('Test Cases'!$B$5:$B$500,B169,'Test Cases'!$C$5:$C$500,C169,'Test Cases'!$L$5:$L$500,"Pass")</f>
        <v>0</v>
      </c>
      <c r="J169">
        <f>COUNTIFS('Test Cases'!$B$5:$B$500,B169,'Test Cases'!$C$5:$C$500,C169,'Test Cases'!$L$5:$L$500,"Fail")</f>
        <v>0</v>
      </c>
      <c r="K169">
        <f>COUNTIFS('Test Cases'!$B$5:$B$500,B169,'Test Cases'!$C$5:$C$500,C169,'Test Cases'!$L$5:$L$500,"Blocked")</f>
        <v>0</v>
      </c>
    </row>
    <row r="170">
      <c r="A170" t="str">
        <v>F-166</v>
      </c>
      <c r="B170" t="str">
        <v>Applications</v>
      </c>
      <c r="C170" t="str">
        <v>Read/unread notification</v>
      </c>
      <c r="D170" t="str">
        <v>Functional</v>
      </c>
      <c r="E170" t="str">
        <v>Low</v>
      </c>
      <c r="F170" t="str">
        <v>Conditional</v>
      </c>
      <c r="G170">
        <f>COUNTIFS('Test Cases'!$B$5:$B$500,B170,'Test Cases'!$C$5:$C$500,C170)</f>
        <v>1</v>
      </c>
      <c r="H170">
        <f>COUNTIFS('Test Cases'!$B$5:$B$500,B170,'Test Cases'!$C$5:$C$500,C170,'Test Cases'!$L$5:$L$500,"&lt;&gt;Not Run")</f>
        <v>0</v>
      </c>
      <c r="I170">
        <f>COUNTIFS('Test Cases'!$B$5:$B$500,B170,'Test Cases'!$C$5:$C$500,C170,'Test Cases'!$L$5:$L$500,"Pass")</f>
        <v>0</v>
      </c>
      <c r="J170">
        <f>COUNTIFS('Test Cases'!$B$5:$B$500,B170,'Test Cases'!$C$5:$C$500,C170,'Test Cases'!$L$5:$L$500,"Fail")</f>
        <v>0</v>
      </c>
      <c r="K170">
        <f>COUNTIFS('Test Cases'!$B$5:$B$500,B170,'Test Cases'!$C$5:$C$500,C170,'Test Cases'!$L$5:$L$500,"Blocked")</f>
        <v>0</v>
      </c>
    </row>
    <row r="171">
      <c r="A171" t="str">
        <v>F-167</v>
      </c>
      <c r="B171" t="str">
        <v>Security</v>
      </c>
      <c r="C171" t="str">
        <v>Unauthorized application access</v>
      </c>
      <c r="D171" t="str">
        <v>Security</v>
      </c>
      <c r="E171" t="str">
        <v>Critical</v>
      </c>
      <c r="F171" t="str">
        <v>Core/Authorized</v>
      </c>
      <c r="G171">
        <f>COUNTIFS('Test Cases'!$B$5:$B$500,B171,'Test Cases'!$C$5:$C$500,C171)</f>
        <v>1</v>
      </c>
      <c r="H171">
        <f>COUNTIFS('Test Cases'!$B$5:$B$500,B171,'Test Cases'!$C$5:$C$500,C171,'Test Cases'!$L$5:$L$500,"&lt;&gt;Not Run")</f>
        <v>0</v>
      </c>
      <c r="I171">
        <f>COUNTIFS('Test Cases'!$B$5:$B$500,B171,'Test Cases'!$C$5:$C$500,C171,'Test Cases'!$L$5:$L$500,"Pass")</f>
        <v>0</v>
      </c>
      <c r="J171">
        <f>COUNTIFS('Test Cases'!$B$5:$B$500,B171,'Test Cases'!$C$5:$C$500,C171,'Test Cases'!$L$5:$L$500,"Fail")</f>
        <v>0</v>
      </c>
      <c r="K171">
        <f>COUNTIFS('Test Cases'!$B$5:$B$500,B171,'Test Cases'!$C$5:$C$500,C171,'Test Cases'!$L$5:$L$500,"Blocked")</f>
        <v>0</v>
      </c>
    </row>
    <row r="172">
      <c r="A172" t="str">
        <v>F-168</v>
      </c>
      <c r="B172" t="str">
        <v>Security</v>
      </c>
      <c r="C172" t="str">
        <v>Unauthorized profile access</v>
      </c>
      <c r="D172" t="str">
        <v>Security</v>
      </c>
      <c r="E172" t="str">
        <v>Critical</v>
      </c>
      <c r="F172" t="str">
        <v>Core/Authorized</v>
      </c>
      <c r="G172">
        <f>COUNTIFS('Test Cases'!$B$5:$B$500,B172,'Test Cases'!$C$5:$C$500,C172)</f>
        <v>1</v>
      </c>
      <c r="H172">
        <f>COUNTIFS('Test Cases'!$B$5:$B$500,B172,'Test Cases'!$C$5:$C$500,C172,'Test Cases'!$L$5:$L$500,"&lt;&gt;Not Run")</f>
        <v>0</v>
      </c>
      <c r="I172">
        <f>COUNTIFS('Test Cases'!$B$5:$B$500,B172,'Test Cases'!$C$5:$C$500,C172,'Test Cases'!$L$5:$L$500,"Pass")</f>
        <v>0</v>
      </c>
      <c r="J172">
        <f>COUNTIFS('Test Cases'!$B$5:$B$500,B172,'Test Cases'!$C$5:$C$500,C172,'Test Cases'!$L$5:$L$500,"Fail")</f>
        <v>0</v>
      </c>
      <c r="K172">
        <f>COUNTIFS('Test Cases'!$B$5:$B$500,B172,'Test Cases'!$C$5:$C$500,C172,'Test Cases'!$L$5:$L$500,"Blocked")</f>
        <v>0</v>
      </c>
    </row>
    <row r="173">
      <c r="A173" t="str">
        <v>F-169</v>
      </c>
      <c r="B173" t="str">
        <v>Security</v>
      </c>
      <c r="C173" t="str">
        <v>Admin URL access</v>
      </c>
      <c r="D173" t="str">
        <v>Security</v>
      </c>
      <c r="E173" t="str">
        <v>Critical</v>
      </c>
      <c r="F173" t="str">
        <v>Core/Authorized</v>
      </c>
      <c r="G173">
        <f>COUNTIFS('Test Cases'!$B$5:$B$500,B173,'Test Cases'!$C$5:$C$500,C173)</f>
        <v>1</v>
      </c>
      <c r="H173">
        <f>COUNTIFS('Test Cases'!$B$5:$B$500,B173,'Test Cases'!$C$5:$C$500,C173,'Test Cases'!$L$5:$L$500,"&lt;&gt;Not Run")</f>
        <v>0</v>
      </c>
      <c r="I173">
        <f>COUNTIFS('Test Cases'!$B$5:$B$500,B173,'Test Cases'!$C$5:$C$500,C173,'Test Cases'!$L$5:$L$500,"Pass")</f>
        <v>0</v>
      </c>
      <c r="J173">
        <f>COUNTIFS('Test Cases'!$B$5:$B$500,B173,'Test Cases'!$C$5:$C$500,C173,'Test Cases'!$L$5:$L$500,"Fail")</f>
        <v>0</v>
      </c>
      <c r="K173">
        <f>COUNTIFS('Test Cases'!$B$5:$B$500,B173,'Test Cases'!$C$5:$C$500,C173,'Test Cases'!$L$5:$L$500,"Blocked")</f>
        <v>0</v>
      </c>
    </row>
    <row r="174">
      <c r="A174" t="str">
        <v>F-170</v>
      </c>
      <c r="B174" t="str">
        <v>Security</v>
      </c>
      <c r="C174" t="str">
        <v>Sensitive data exposure</v>
      </c>
      <c r="D174" t="str">
        <v>Security</v>
      </c>
      <c r="E174" t="str">
        <v>Critical</v>
      </c>
      <c r="F174" t="str">
        <v>Core/Authorized</v>
      </c>
      <c r="G174">
        <f>COUNTIFS('Test Cases'!$B$5:$B$500,B174,'Test Cases'!$C$5:$C$500,C174)</f>
        <v>1</v>
      </c>
      <c r="H174">
        <f>COUNTIFS('Test Cases'!$B$5:$B$500,B174,'Test Cases'!$C$5:$C$500,C174,'Test Cases'!$L$5:$L$500,"&lt;&gt;Not Run")</f>
        <v>0</v>
      </c>
      <c r="I174">
        <f>COUNTIFS('Test Cases'!$B$5:$B$500,B174,'Test Cases'!$C$5:$C$500,C174,'Test Cases'!$L$5:$L$500,"Pass")</f>
        <v>0</v>
      </c>
      <c r="J174">
        <f>COUNTIFS('Test Cases'!$B$5:$B$500,B174,'Test Cases'!$C$5:$C$500,C174,'Test Cases'!$L$5:$L$500,"Fail")</f>
        <v>0</v>
      </c>
      <c r="K174">
        <f>COUNTIFS('Test Cases'!$B$5:$B$500,B174,'Test Cases'!$C$5:$C$500,C174,'Test Cases'!$L$5:$L$500,"Blocked")</f>
        <v>0</v>
      </c>
    </row>
    <row r="175">
      <c r="A175" t="str">
        <v>F-171</v>
      </c>
      <c r="B175" t="str">
        <v>Security</v>
      </c>
      <c r="C175" t="str">
        <v>XSS in job search</v>
      </c>
      <c r="D175" t="str">
        <v>Security</v>
      </c>
      <c r="E175" t="str">
        <v>Critical</v>
      </c>
      <c r="F175" t="str">
        <v>Core/Authorized</v>
      </c>
      <c r="G175">
        <f>COUNTIFS('Test Cases'!$B$5:$B$500,B175,'Test Cases'!$C$5:$C$500,C175)</f>
        <v>1</v>
      </c>
      <c r="H175">
        <f>COUNTIFS('Test Cases'!$B$5:$B$500,B175,'Test Cases'!$C$5:$C$500,C175,'Test Cases'!$L$5:$L$500,"&lt;&gt;Not Run")</f>
        <v>0</v>
      </c>
      <c r="I175">
        <f>COUNTIFS('Test Cases'!$B$5:$B$500,B175,'Test Cases'!$C$5:$C$500,C175,'Test Cases'!$L$5:$L$500,"Pass")</f>
        <v>0</v>
      </c>
      <c r="J175">
        <f>COUNTIFS('Test Cases'!$B$5:$B$500,B175,'Test Cases'!$C$5:$C$500,C175,'Test Cases'!$L$5:$L$500,"Fail")</f>
        <v>0</v>
      </c>
      <c r="K175">
        <f>COUNTIFS('Test Cases'!$B$5:$B$500,B175,'Test Cases'!$C$5:$C$500,C175,'Test Cases'!$L$5:$L$500,"Blocked")</f>
        <v>0</v>
      </c>
    </row>
    <row r="176">
      <c r="A176" t="str">
        <v>F-172</v>
      </c>
      <c r="B176" t="str">
        <v>Security</v>
      </c>
      <c r="C176" t="str">
        <v>XSS in job content</v>
      </c>
      <c r="D176" t="str">
        <v>Security</v>
      </c>
      <c r="E176" t="str">
        <v>Critical</v>
      </c>
      <c r="F176" t="str">
        <v>Core/Authorized</v>
      </c>
      <c r="G176">
        <f>COUNTIFS('Test Cases'!$B$5:$B$500,B176,'Test Cases'!$C$5:$C$500,C176)</f>
        <v>1</v>
      </c>
      <c r="H176">
        <f>COUNTIFS('Test Cases'!$B$5:$B$500,B176,'Test Cases'!$C$5:$C$500,C176,'Test Cases'!$L$5:$L$500,"&lt;&gt;Not Run")</f>
        <v>0</v>
      </c>
      <c r="I176">
        <f>COUNTIFS('Test Cases'!$B$5:$B$500,B176,'Test Cases'!$C$5:$C$500,C176,'Test Cases'!$L$5:$L$500,"Pass")</f>
        <v>0</v>
      </c>
      <c r="J176">
        <f>COUNTIFS('Test Cases'!$B$5:$B$500,B176,'Test Cases'!$C$5:$C$500,C176,'Test Cases'!$L$5:$L$500,"Fail")</f>
        <v>0</v>
      </c>
      <c r="K176">
        <f>COUNTIFS('Test Cases'!$B$5:$B$500,B176,'Test Cases'!$C$5:$C$500,C176,'Test Cases'!$L$5:$L$500,"Blocked")</f>
        <v>0</v>
      </c>
    </row>
    <row r="177">
      <c r="A177" t="str">
        <v>F-173</v>
      </c>
      <c r="B177" t="str">
        <v>Security</v>
      </c>
      <c r="C177" t="str">
        <v>CSRF on state-changing action</v>
      </c>
      <c r="D177" t="str">
        <v>Security</v>
      </c>
      <c r="E177" t="str">
        <v>High</v>
      </c>
      <c r="F177" t="str">
        <v>Core/Authorized</v>
      </c>
      <c r="G177">
        <f>COUNTIFS('Test Cases'!$B$5:$B$500,B177,'Test Cases'!$C$5:$C$500,C177)</f>
        <v>1</v>
      </c>
      <c r="H177">
        <f>COUNTIFS('Test Cases'!$B$5:$B$500,B177,'Test Cases'!$C$5:$C$500,C177,'Test Cases'!$L$5:$L$500,"&lt;&gt;Not Run")</f>
        <v>0</v>
      </c>
      <c r="I177">
        <f>COUNTIFS('Test Cases'!$B$5:$B$500,B177,'Test Cases'!$C$5:$C$500,C177,'Test Cases'!$L$5:$L$500,"Pass")</f>
        <v>0</v>
      </c>
      <c r="J177">
        <f>COUNTIFS('Test Cases'!$B$5:$B$500,B177,'Test Cases'!$C$5:$C$500,C177,'Test Cases'!$L$5:$L$500,"Fail")</f>
        <v>0</v>
      </c>
      <c r="K177">
        <f>COUNTIFS('Test Cases'!$B$5:$B$500,B177,'Test Cases'!$C$5:$C$500,C177,'Test Cases'!$L$5:$L$500,"Blocked")</f>
        <v>0</v>
      </c>
    </row>
    <row r="178">
      <c r="A178" t="str">
        <v>F-174</v>
      </c>
      <c r="B178" t="str">
        <v>Security</v>
      </c>
      <c r="C178" t="str">
        <v>Session cookie flags</v>
      </c>
      <c r="D178" t="str">
        <v>Security</v>
      </c>
      <c r="E178" t="str">
        <v>High</v>
      </c>
      <c r="F178" t="str">
        <v>Core/Authorized</v>
      </c>
      <c r="G178">
        <f>COUNTIFS('Test Cases'!$B$5:$B$500,B178,'Test Cases'!$C$5:$C$500,C178)</f>
        <v>1</v>
      </c>
      <c r="H178">
        <f>COUNTIFS('Test Cases'!$B$5:$B$500,B178,'Test Cases'!$C$5:$C$500,C178,'Test Cases'!$L$5:$L$500,"&lt;&gt;Not Run")</f>
        <v>0</v>
      </c>
      <c r="I178">
        <f>COUNTIFS('Test Cases'!$B$5:$B$500,B178,'Test Cases'!$C$5:$C$500,C178,'Test Cases'!$L$5:$L$500,"Pass")</f>
        <v>0</v>
      </c>
      <c r="J178">
        <f>COUNTIFS('Test Cases'!$B$5:$B$500,B178,'Test Cases'!$C$5:$C$500,C178,'Test Cases'!$L$5:$L$500,"Fail")</f>
        <v>0</v>
      </c>
      <c r="K178">
        <f>COUNTIFS('Test Cases'!$B$5:$B$500,B178,'Test Cases'!$C$5:$C$500,C178,'Test Cases'!$L$5:$L$500,"Blocked")</f>
        <v>0</v>
      </c>
    </row>
    <row r="179">
      <c r="A179" t="str">
        <v>F-175</v>
      </c>
      <c r="B179" t="str">
        <v>Security</v>
      </c>
      <c r="C179" t="str">
        <v>Logout invalidation</v>
      </c>
      <c r="D179" t="str">
        <v>Security</v>
      </c>
      <c r="E179" t="str">
        <v>High</v>
      </c>
      <c r="F179" t="str">
        <v>Core/Authorized</v>
      </c>
      <c r="G179">
        <f>COUNTIFS('Test Cases'!$B$5:$B$500,B179,'Test Cases'!$C$5:$C$500,C179)</f>
        <v>1</v>
      </c>
      <c r="H179">
        <f>COUNTIFS('Test Cases'!$B$5:$B$500,B179,'Test Cases'!$C$5:$C$500,C179,'Test Cases'!$L$5:$L$500,"&lt;&gt;Not Run")</f>
        <v>0</v>
      </c>
      <c r="I179">
        <f>COUNTIFS('Test Cases'!$B$5:$B$500,B179,'Test Cases'!$C$5:$C$500,C179,'Test Cases'!$L$5:$L$500,"Pass")</f>
        <v>0</v>
      </c>
      <c r="J179">
        <f>COUNTIFS('Test Cases'!$B$5:$B$500,B179,'Test Cases'!$C$5:$C$500,C179,'Test Cases'!$L$5:$L$500,"Fail")</f>
        <v>0</v>
      </c>
      <c r="K179">
        <f>COUNTIFS('Test Cases'!$B$5:$B$500,B179,'Test Cases'!$C$5:$C$500,C179,'Test Cases'!$L$5:$L$500,"Blocked")</f>
        <v>0</v>
      </c>
    </row>
    <row r="180">
      <c r="A180" t="str">
        <v>F-176</v>
      </c>
      <c r="B180" t="str">
        <v>Security</v>
      </c>
      <c r="C180" t="str">
        <v>Brute-force resistance</v>
      </c>
      <c r="D180" t="str">
        <v>Security</v>
      </c>
      <c r="E180" t="str">
        <v>High</v>
      </c>
      <c r="F180" t="str">
        <v>Core/Authorized</v>
      </c>
      <c r="G180">
        <f>COUNTIFS('Test Cases'!$B$5:$B$500,B180,'Test Cases'!$C$5:$C$500,C180)</f>
        <v>1</v>
      </c>
      <c r="H180">
        <f>COUNTIFS('Test Cases'!$B$5:$B$500,B180,'Test Cases'!$C$5:$C$500,C180,'Test Cases'!$L$5:$L$500,"&lt;&gt;Not Run")</f>
        <v>0</v>
      </c>
      <c r="I180">
        <f>COUNTIFS('Test Cases'!$B$5:$B$500,B180,'Test Cases'!$C$5:$C$500,C180,'Test Cases'!$L$5:$L$500,"Pass")</f>
        <v>0</v>
      </c>
      <c r="J180">
        <f>COUNTIFS('Test Cases'!$B$5:$B$500,B180,'Test Cases'!$C$5:$C$500,C180,'Test Cases'!$L$5:$L$500,"Fail")</f>
        <v>0</v>
      </c>
      <c r="K180">
        <f>COUNTIFS('Test Cases'!$B$5:$B$500,B180,'Test Cases'!$C$5:$C$500,C180,'Test Cases'!$L$5:$L$500,"Blocked")</f>
        <v>0</v>
      </c>
    </row>
    <row r="181">
      <c r="A181" t="str">
        <v>F-177</v>
      </c>
      <c r="B181" t="str">
        <v>Responsive/Browser</v>
      </c>
      <c r="C181" t="str">
        <v>Responsive mobile layout</v>
      </c>
      <c r="D181" t="str">
        <v>Compatibility</v>
      </c>
      <c r="E181" t="str">
        <v>High</v>
      </c>
      <c r="F181" t="str">
        <v>Core/Conditional</v>
      </c>
      <c r="G181">
        <f>COUNTIFS('Test Cases'!$B$5:$B$500,B181,'Test Cases'!$C$5:$C$500,C181)</f>
        <v>1</v>
      </c>
      <c r="H181">
        <f>COUNTIFS('Test Cases'!$B$5:$B$500,B181,'Test Cases'!$C$5:$C$500,C181,'Test Cases'!$L$5:$L$500,"&lt;&gt;Not Run")</f>
        <v>0</v>
      </c>
      <c r="I181">
        <f>COUNTIFS('Test Cases'!$B$5:$B$500,B181,'Test Cases'!$C$5:$C$500,C181,'Test Cases'!$L$5:$L$500,"Pass")</f>
        <v>0</v>
      </c>
      <c r="J181">
        <f>COUNTIFS('Test Cases'!$B$5:$B$500,B181,'Test Cases'!$C$5:$C$500,C181,'Test Cases'!$L$5:$L$500,"Fail")</f>
        <v>0</v>
      </c>
      <c r="K181">
        <f>COUNTIFS('Test Cases'!$B$5:$B$500,B181,'Test Cases'!$C$5:$C$500,C181,'Test Cases'!$L$5:$L$500,"Blocked")</f>
        <v>0</v>
      </c>
    </row>
    <row r="182">
      <c r="A182" t="str">
        <v>F-178</v>
      </c>
      <c r="B182" t="str">
        <v>Responsive/Browser</v>
      </c>
      <c r="C182" t="str">
        <v>Tablet layout</v>
      </c>
      <c r="D182" t="str">
        <v>Compatibility</v>
      </c>
      <c r="E182" t="str">
        <v>Medium</v>
      </c>
      <c r="F182" t="str">
        <v>Core/Conditional</v>
      </c>
      <c r="G182">
        <f>COUNTIFS('Test Cases'!$B$5:$B$500,B182,'Test Cases'!$C$5:$C$500,C182)</f>
        <v>1</v>
      </c>
      <c r="H182">
        <f>COUNTIFS('Test Cases'!$B$5:$B$500,B182,'Test Cases'!$C$5:$C$500,C182,'Test Cases'!$L$5:$L$500,"&lt;&gt;Not Run")</f>
        <v>0</v>
      </c>
      <c r="I182">
        <f>COUNTIFS('Test Cases'!$B$5:$B$500,B182,'Test Cases'!$C$5:$C$500,C182,'Test Cases'!$L$5:$L$500,"Pass")</f>
        <v>0</v>
      </c>
      <c r="J182">
        <f>COUNTIFS('Test Cases'!$B$5:$B$500,B182,'Test Cases'!$C$5:$C$500,C182,'Test Cases'!$L$5:$L$500,"Fail")</f>
        <v>0</v>
      </c>
      <c r="K182">
        <f>COUNTIFS('Test Cases'!$B$5:$B$500,B182,'Test Cases'!$C$5:$C$500,C182,'Test Cases'!$L$5:$L$500,"Blocked")</f>
        <v>0</v>
      </c>
    </row>
    <row r="183">
      <c r="A183" t="str">
        <v>F-179</v>
      </c>
      <c r="B183" t="str">
        <v>Responsive/Browser</v>
      </c>
      <c r="C183" t="str">
        <v>Chrome compatibility</v>
      </c>
      <c r="D183" t="str">
        <v>Compatibility</v>
      </c>
      <c r="E183" t="str">
        <v>High</v>
      </c>
      <c r="F183" t="str">
        <v>Core/Conditional</v>
      </c>
      <c r="G183">
        <f>COUNTIFS('Test Cases'!$B$5:$B$500,B183,'Test Cases'!$C$5:$C$500,C183)</f>
        <v>1</v>
      </c>
      <c r="H183">
        <f>COUNTIFS('Test Cases'!$B$5:$B$500,B183,'Test Cases'!$C$5:$C$500,C183,'Test Cases'!$L$5:$L$500,"&lt;&gt;Not Run")</f>
        <v>0</v>
      </c>
      <c r="I183">
        <f>COUNTIFS('Test Cases'!$B$5:$B$500,B183,'Test Cases'!$C$5:$C$500,C183,'Test Cases'!$L$5:$L$500,"Pass")</f>
        <v>0</v>
      </c>
      <c r="J183">
        <f>COUNTIFS('Test Cases'!$B$5:$B$500,B183,'Test Cases'!$C$5:$C$500,C183,'Test Cases'!$L$5:$L$500,"Fail")</f>
        <v>0</v>
      </c>
      <c r="K183">
        <f>COUNTIFS('Test Cases'!$B$5:$B$500,B183,'Test Cases'!$C$5:$C$500,C183,'Test Cases'!$L$5:$L$500,"Blocked")</f>
        <v>0</v>
      </c>
    </row>
    <row r="184">
      <c r="A184" t="str">
        <v>F-180</v>
      </c>
      <c r="B184" t="str">
        <v>Responsive/Browser</v>
      </c>
      <c r="C184" t="str">
        <v>Edge compatibility</v>
      </c>
      <c r="D184" t="str">
        <v>Compatibility</v>
      </c>
      <c r="E184" t="str">
        <v>Medium</v>
      </c>
      <c r="F184" t="str">
        <v>Core/Conditional</v>
      </c>
      <c r="G184">
        <f>COUNTIFS('Test Cases'!$B$5:$B$500,B184,'Test Cases'!$C$5:$C$500,C184)</f>
        <v>1</v>
      </c>
      <c r="H184">
        <f>COUNTIFS('Test Cases'!$B$5:$B$500,B184,'Test Cases'!$C$5:$C$500,C184,'Test Cases'!$L$5:$L$500,"&lt;&gt;Not Run")</f>
        <v>0</v>
      </c>
      <c r="I184">
        <f>COUNTIFS('Test Cases'!$B$5:$B$500,B184,'Test Cases'!$C$5:$C$500,C184,'Test Cases'!$L$5:$L$500,"Pass")</f>
        <v>0</v>
      </c>
      <c r="J184">
        <f>COUNTIFS('Test Cases'!$B$5:$B$500,B184,'Test Cases'!$C$5:$C$500,C184,'Test Cases'!$L$5:$L$500,"Fail")</f>
        <v>0</v>
      </c>
      <c r="K184">
        <f>COUNTIFS('Test Cases'!$B$5:$B$500,B184,'Test Cases'!$C$5:$C$500,C184,'Test Cases'!$L$5:$L$500,"Blocked")</f>
        <v>0</v>
      </c>
    </row>
    <row r="185">
      <c r="A185" t="str">
        <v>F-181</v>
      </c>
      <c r="B185" t="str">
        <v>Responsive/Browser</v>
      </c>
      <c r="C185" t="str">
        <v>Firefox compatibility</v>
      </c>
      <c r="D185" t="str">
        <v>Compatibility</v>
      </c>
      <c r="E185" t="str">
        <v>Medium</v>
      </c>
      <c r="F185" t="str">
        <v>Core/Conditional</v>
      </c>
      <c r="G185">
        <f>COUNTIFS('Test Cases'!$B$5:$B$500,B185,'Test Cases'!$C$5:$C$500,C185)</f>
        <v>1</v>
      </c>
      <c r="H185">
        <f>COUNTIFS('Test Cases'!$B$5:$B$500,B185,'Test Cases'!$C$5:$C$500,C185,'Test Cases'!$L$5:$L$500,"&lt;&gt;Not Run")</f>
        <v>0</v>
      </c>
      <c r="I185">
        <f>COUNTIFS('Test Cases'!$B$5:$B$500,B185,'Test Cases'!$C$5:$C$500,C185,'Test Cases'!$L$5:$L$500,"Pass")</f>
        <v>0</v>
      </c>
      <c r="J185">
        <f>COUNTIFS('Test Cases'!$B$5:$B$500,B185,'Test Cases'!$C$5:$C$500,C185,'Test Cases'!$L$5:$L$500,"Fail")</f>
        <v>0</v>
      </c>
      <c r="K185">
        <f>COUNTIFS('Test Cases'!$B$5:$B$500,B185,'Test Cases'!$C$5:$C$500,C185,'Test Cases'!$L$5:$L$500,"Blocked")</f>
        <v>0</v>
      </c>
    </row>
    <row r="186">
      <c r="A186" t="str">
        <v>F-182</v>
      </c>
      <c r="B186" t="str">
        <v>Responsive/Browser</v>
      </c>
      <c r="C186" t="str">
        <v>Touch target usability</v>
      </c>
      <c r="D186" t="str">
        <v>UI/UX</v>
      </c>
      <c r="E186" t="str">
        <v>Medium</v>
      </c>
      <c r="F186" t="str">
        <v>Core/Conditional</v>
      </c>
      <c r="G186">
        <f>COUNTIFS('Test Cases'!$B$5:$B$500,B186,'Test Cases'!$C$5:$C$500,C186)</f>
        <v>1</v>
      </c>
      <c r="H186">
        <f>COUNTIFS('Test Cases'!$B$5:$B$500,B186,'Test Cases'!$C$5:$C$500,C186,'Test Cases'!$L$5:$L$500,"&lt;&gt;Not Run")</f>
        <v>0</v>
      </c>
      <c r="I186">
        <f>COUNTIFS('Test Cases'!$B$5:$B$500,B186,'Test Cases'!$C$5:$C$500,C186,'Test Cases'!$L$5:$L$500,"Pass")</f>
        <v>0</v>
      </c>
      <c r="J186">
        <f>COUNTIFS('Test Cases'!$B$5:$B$500,B186,'Test Cases'!$C$5:$C$500,C186,'Test Cases'!$L$5:$L$500,"Fail")</f>
        <v>0</v>
      </c>
      <c r="K186">
        <f>COUNTIFS('Test Cases'!$B$5:$B$500,B186,'Test Cases'!$C$5:$C$500,C186,'Test Cases'!$L$5:$L$500,"Blocked")</f>
        <v>0</v>
      </c>
    </row>
    <row r="187">
      <c r="A187" t="str">
        <v>F-183</v>
      </c>
      <c r="B187" t="str">
        <v>Responsive/Browser</v>
      </c>
      <c r="C187" t="str">
        <v>Keyboard navigation</v>
      </c>
      <c r="D187" t="str">
        <v>Accessibility</v>
      </c>
      <c r="E187" t="str">
        <v>High</v>
      </c>
      <c r="F187" t="str">
        <v>Core/Conditional</v>
      </c>
      <c r="G187">
        <f>COUNTIFS('Test Cases'!$B$5:$B$500,B187,'Test Cases'!$C$5:$C$500,C187)</f>
        <v>1</v>
      </c>
      <c r="H187">
        <f>COUNTIFS('Test Cases'!$B$5:$B$500,B187,'Test Cases'!$C$5:$C$500,C187,'Test Cases'!$L$5:$L$500,"&lt;&gt;Not Run")</f>
        <v>0</v>
      </c>
      <c r="I187">
        <f>COUNTIFS('Test Cases'!$B$5:$B$500,B187,'Test Cases'!$C$5:$C$500,C187,'Test Cases'!$L$5:$L$500,"Pass")</f>
        <v>0</v>
      </c>
      <c r="J187">
        <f>COUNTIFS('Test Cases'!$B$5:$B$500,B187,'Test Cases'!$C$5:$C$500,C187,'Test Cases'!$L$5:$L$500,"Fail")</f>
        <v>0</v>
      </c>
      <c r="K187">
        <f>COUNTIFS('Test Cases'!$B$5:$B$500,B187,'Test Cases'!$C$5:$C$500,C187,'Test Cases'!$L$5:$L$500,"Blocked")</f>
        <v>0</v>
      </c>
    </row>
    <row r="188">
      <c r="A188" t="str">
        <v>F-184</v>
      </c>
      <c r="B188" t="str">
        <v>Responsive/Browser</v>
      </c>
      <c r="C188" t="str">
        <v>Focus visibility</v>
      </c>
      <c r="D188" t="str">
        <v>Accessibility</v>
      </c>
      <c r="E188" t="str">
        <v>Medium</v>
      </c>
      <c r="F188" t="str">
        <v>Core/Conditional</v>
      </c>
      <c r="G188">
        <f>COUNTIFS('Test Cases'!$B$5:$B$500,B188,'Test Cases'!$C$5:$C$500,C188)</f>
        <v>1</v>
      </c>
      <c r="H188">
        <f>COUNTIFS('Test Cases'!$B$5:$B$500,B188,'Test Cases'!$C$5:$C$500,C188,'Test Cases'!$L$5:$L$500,"&lt;&gt;Not Run")</f>
        <v>0</v>
      </c>
      <c r="I188">
        <f>COUNTIFS('Test Cases'!$B$5:$B$500,B188,'Test Cases'!$C$5:$C$500,C188,'Test Cases'!$L$5:$L$500,"Pass")</f>
        <v>0</v>
      </c>
      <c r="J188">
        <f>COUNTIFS('Test Cases'!$B$5:$B$500,B188,'Test Cases'!$C$5:$C$500,C188,'Test Cases'!$L$5:$L$500,"Fail")</f>
        <v>0</v>
      </c>
      <c r="K188">
        <f>COUNTIFS('Test Cases'!$B$5:$B$500,B188,'Test Cases'!$C$5:$C$500,C188,'Test Cases'!$L$5:$L$500,"Blocked")</f>
        <v>0</v>
      </c>
    </row>
    <row r="189">
      <c r="A189" t="str">
        <v>F-185</v>
      </c>
      <c r="B189" t="str">
        <v>Responsive/Browser</v>
      </c>
      <c r="C189" t="str">
        <v>Form labels</v>
      </c>
      <c r="D189" t="str">
        <v>Accessibility</v>
      </c>
      <c r="E189" t="str">
        <v>Medium</v>
      </c>
      <c r="F189" t="str">
        <v>Core/Conditional</v>
      </c>
      <c r="G189">
        <f>COUNTIFS('Test Cases'!$B$5:$B$500,B189,'Test Cases'!$C$5:$C$500,C189)</f>
        <v>1</v>
      </c>
      <c r="H189">
        <f>COUNTIFS('Test Cases'!$B$5:$B$500,B189,'Test Cases'!$C$5:$C$500,C189,'Test Cases'!$L$5:$L$500,"&lt;&gt;Not Run")</f>
        <v>0</v>
      </c>
      <c r="I189">
        <f>COUNTIFS('Test Cases'!$B$5:$B$500,B189,'Test Cases'!$C$5:$C$500,C189,'Test Cases'!$L$5:$L$500,"Pass")</f>
        <v>0</v>
      </c>
      <c r="J189">
        <f>COUNTIFS('Test Cases'!$B$5:$B$500,B189,'Test Cases'!$C$5:$C$500,C189,'Test Cases'!$L$5:$L$500,"Fail")</f>
        <v>0</v>
      </c>
      <c r="K189">
        <f>COUNTIFS('Test Cases'!$B$5:$B$500,B189,'Test Cases'!$C$5:$C$500,C189,'Test Cases'!$L$5:$L$500,"Blocked")</f>
        <v>0</v>
      </c>
    </row>
    <row r="190">
      <c r="A190" t="str">
        <v>F-186</v>
      </c>
      <c r="B190" t="str">
        <v>Accessibility</v>
      </c>
      <c r="C190" t="str">
        <v>Error message clarity</v>
      </c>
      <c r="D190" t="str">
        <v>Accessibility</v>
      </c>
      <c r="E190" t="str">
        <v>Medium</v>
      </c>
      <c r="F190" t="str">
        <v>Core/Conditional</v>
      </c>
      <c r="G190">
        <f>COUNTIFS('Test Cases'!$B$5:$B$500,B190,'Test Cases'!$C$5:$C$500,C190)</f>
        <v>1</v>
      </c>
      <c r="H190">
        <f>COUNTIFS('Test Cases'!$B$5:$B$500,B190,'Test Cases'!$C$5:$C$500,C190,'Test Cases'!$L$5:$L$500,"&lt;&gt;Not Run")</f>
        <v>0</v>
      </c>
      <c r="I190">
        <f>COUNTIFS('Test Cases'!$B$5:$B$500,B190,'Test Cases'!$C$5:$C$500,C190,'Test Cases'!$L$5:$L$500,"Pass")</f>
        <v>0</v>
      </c>
      <c r="J190">
        <f>COUNTIFS('Test Cases'!$B$5:$B$500,B190,'Test Cases'!$C$5:$C$500,C190,'Test Cases'!$L$5:$L$500,"Fail")</f>
        <v>0</v>
      </c>
      <c r="K190">
        <f>COUNTIFS('Test Cases'!$B$5:$B$500,B190,'Test Cases'!$C$5:$C$500,C190,'Test Cases'!$L$5:$L$500,"Blocked")</f>
        <v>0</v>
      </c>
    </row>
    <row r="191">
      <c r="A191" t="str">
        <v>F-187</v>
      </c>
      <c r="B191" t="str">
        <v>Accessibility</v>
      </c>
      <c r="C191" t="str">
        <v>Color-only status</v>
      </c>
      <c r="D191" t="str">
        <v>Accessibility</v>
      </c>
      <c r="E191" t="str">
        <v>Low</v>
      </c>
      <c r="F191" t="str">
        <v>Core/Conditional</v>
      </c>
      <c r="G191">
        <f>COUNTIFS('Test Cases'!$B$5:$B$500,B191,'Test Cases'!$C$5:$C$500,C191)</f>
        <v>1</v>
      </c>
      <c r="H191">
        <f>COUNTIFS('Test Cases'!$B$5:$B$500,B191,'Test Cases'!$C$5:$C$500,C191,'Test Cases'!$L$5:$L$500,"&lt;&gt;Not Run")</f>
        <v>0</v>
      </c>
      <c r="I191">
        <f>COUNTIFS('Test Cases'!$B$5:$B$500,B191,'Test Cases'!$C$5:$C$500,C191,'Test Cases'!$L$5:$L$500,"Pass")</f>
        <v>0</v>
      </c>
      <c r="J191">
        <f>COUNTIFS('Test Cases'!$B$5:$B$500,B191,'Test Cases'!$C$5:$C$500,C191,'Test Cases'!$L$5:$L$500,"Fail")</f>
        <v>0</v>
      </c>
      <c r="K191">
        <f>COUNTIFS('Test Cases'!$B$5:$B$500,B191,'Test Cases'!$C$5:$C$500,C191,'Test Cases'!$L$5:$L$500,"Blocked")</f>
        <v>0</v>
      </c>
    </row>
    <row r="192">
      <c r="A192" t="str">
        <v>F-188</v>
      </c>
      <c r="B192" t="str">
        <v>Performance</v>
      </c>
      <c r="C192" t="str">
        <v>Page load baseline</v>
      </c>
      <c r="D192" t="str">
        <v>Performance</v>
      </c>
      <c r="E192" t="str">
        <v>High</v>
      </c>
      <c r="F192" t="str">
        <v>Core/Conditional</v>
      </c>
      <c r="G192">
        <f>COUNTIFS('Test Cases'!$B$5:$B$500,B192,'Test Cases'!$C$5:$C$500,C192)</f>
        <v>1</v>
      </c>
      <c r="H192">
        <f>COUNTIFS('Test Cases'!$B$5:$B$500,B192,'Test Cases'!$C$5:$C$500,C192,'Test Cases'!$L$5:$L$500,"&lt;&gt;Not Run")</f>
        <v>0</v>
      </c>
      <c r="I192">
        <f>COUNTIFS('Test Cases'!$B$5:$B$500,B192,'Test Cases'!$C$5:$C$500,C192,'Test Cases'!$L$5:$L$500,"Pass")</f>
        <v>0</v>
      </c>
      <c r="J192">
        <f>COUNTIFS('Test Cases'!$B$5:$B$500,B192,'Test Cases'!$C$5:$C$500,C192,'Test Cases'!$L$5:$L$500,"Fail")</f>
        <v>0</v>
      </c>
      <c r="K192">
        <f>COUNTIFS('Test Cases'!$B$5:$B$500,B192,'Test Cases'!$C$5:$C$500,C192,'Test Cases'!$L$5:$L$500,"Blocked")</f>
        <v>0</v>
      </c>
    </row>
    <row r="193">
      <c r="A193" t="str">
        <v>F-189</v>
      </c>
      <c r="B193" t="str">
        <v>Performance</v>
      </c>
      <c r="C193" t="str">
        <v>Search response baseline</v>
      </c>
      <c r="D193" t="str">
        <v>Performance</v>
      </c>
      <c r="E193" t="str">
        <v>High</v>
      </c>
      <c r="F193" t="str">
        <v>Core/Conditional</v>
      </c>
      <c r="G193">
        <f>COUNTIFS('Test Cases'!$B$5:$B$500,B193,'Test Cases'!$C$5:$C$500,C193)</f>
        <v>1</v>
      </c>
      <c r="H193">
        <f>COUNTIFS('Test Cases'!$B$5:$B$500,B193,'Test Cases'!$C$5:$C$500,C193,'Test Cases'!$L$5:$L$500,"&lt;&gt;Not Run")</f>
        <v>0</v>
      </c>
      <c r="I193">
        <f>COUNTIFS('Test Cases'!$B$5:$B$500,B193,'Test Cases'!$C$5:$C$500,C193,'Test Cases'!$L$5:$L$500,"Pass")</f>
        <v>0</v>
      </c>
      <c r="J193">
        <f>COUNTIFS('Test Cases'!$B$5:$B$500,B193,'Test Cases'!$C$5:$C$500,C193,'Test Cases'!$L$5:$L$500,"Fail")</f>
        <v>0</v>
      </c>
      <c r="K193">
        <f>COUNTIFS('Test Cases'!$B$5:$B$500,B193,'Test Cases'!$C$5:$C$500,C193,'Test Cases'!$L$5:$L$500,"Blocked")</f>
        <v>0</v>
      </c>
    </row>
    <row r="194">
      <c r="A194" t="str">
        <v>F-190</v>
      </c>
      <c r="B194" t="str">
        <v>Performance</v>
      </c>
      <c r="C194" t="str">
        <v>Large result set</v>
      </c>
      <c r="D194" t="str">
        <v>Performance</v>
      </c>
      <c r="E194" t="str">
        <v>High</v>
      </c>
      <c r="F194" t="str">
        <v>Core/Conditional</v>
      </c>
      <c r="G194">
        <f>COUNTIFS('Test Cases'!$B$5:$B$500,B194,'Test Cases'!$C$5:$C$500,C194)</f>
        <v>1</v>
      </c>
      <c r="H194">
        <f>COUNTIFS('Test Cases'!$B$5:$B$500,B194,'Test Cases'!$C$5:$C$500,C194,'Test Cases'!$L$5:$L$500,"&lt;&gt;Not Run")</f>
        <v>0</v>
      </c>
      <c r="I194">
        <f>COUNTIFS('Test Cases'!$B$5:$B$500,B194,'Test Cases'!$C$5:$C$500,C194,'Test Cases'!$L$5:$L$500,"Pass")</f>
        <v>0</v>
      </c>
      <c r="J194">
        <f>COUNTIFS('Test Cases'!$B$5:$B$500,B194,'Test Cases'!$C$5:$C$500,C194,'Test Cases'!$L$5:$L$500,"Fail")</f>
        <v>0</v>
      </c>
      <c r="K194">
        <f>COUNTIFS('Test Cases'!$B$5:$B$500,B194,'Test Cases'!$C$5:$C$500,C194,'Test Cases'!$L$5:$L$500,"Blocked")</f>
        <v>0</v>
      </c>
    </row>
    <row r="195">
      <c r="A195" t="str">
        <v>F-191</v>
      </c>
      <c r="B195" t="str">
        <v>Performance</v>
      </c>
      <c r="C195" t="str">
        <v>Large file upload response</v>
      </c>
      <c r="D195" t="str">
        <v>Performance</v>
      </c>
      <c r="E195" t="str">
        <v>Medium</v>
      </c>
      <c r="F195" t="str">
        <v>Core/Conditional</v>
      </c>
      <c r="G195">
        <f>COUNTIFS('Test Cases'!$B$5:$B$500,B195,'Test Cases'!$C$5:$C$500,C195)</f>
        <v>1</v>
      </c>
      <c r="H195">
        <f>COUNTIFS('Test Cases'!$B$5:$B$500,B195,'Test Cases'!$C$5:$C$500,C195,'Test Cases'!$L$5:$L$500,"&lt;&gt;Not Run")</f>
        <v>0</v>
      </c>
      <c r="I195">
        <f>COUNTIFS('Test Cases'!$B$5:$B$500,B195,'Test Cases'!$C$5:$C$500,C195,'Test Cases'!$L$5:$L$500,"Pass")</f>
        <v>0</v>
      </c>
      <c r="J195">
        <f>COUNTIFS('Test Cases'!$B$5:$B$500,B195,'Test Cases'!$C$5:$C$500,C195,'Test Cases'!$L$5:$L$500,"Fail")</f>
        <v>0</v>
      </c>
      <c r="K195">
        <f>COUNTIFS('Test Cases'!$B$5:$B$500,B195,'Test Cases'!$C$5:$C$500,C195,'Test Cases'!$L$5:$L$500,"Blocked")</f>
        <v>0</v>
      </c>
    </row>
    <row r="196">
      <c r="A196" t="str">
        <v>F-192</v>
      </c>
      <c r="B196" t="str">
        <v>Accessibility</v>
      </c>
      <c r="C196" t="str">
        <v>Broken external source graceful UI</v>
      </c>
      <c r="D196" t="str">
        <v>UI/UX</v>
      </c>
      <c r="E196" t="str">
        <v>Medium</v>
      </c>
      <c r="F196" t="str">
        <v>Core/Conditional</v>
      </c>
      <c r="G196">
        <f>COUNTIFS('Test Cases'!$B$5:$B$500,B196,'Test Cases'!$C$5:$C$500,C196)</f>
        <v>1</v>
      </c>
      <c r="H196">
        <f>COUNTIFS('Test Cases'!$B$5:$B$500,B196,'Test Cases'!$C$5:$C$500,C196,'Test Cases'!$L$5:$L$500,"&lt;&gt;Not Run")</f>
        <v>0</v>
      </c>
      <c r="I196">
        <f>COUNTIFS('Test Cases'!$B$5:$B$500,B196,'Test Cases'!$C$5:$C$500,C196,'Test Cases'!$L$5:$L$500,"Pass")</f>
        <v>0</v>
      </c>
      <c r="J196">
        <f>COUNTIFS('Test Cases'!$B$5:$B$500,B196,'Test Cases'!$C$5:$C$500,C196,'Test Cases'!$L$5:$L$500,"Fail")</f>
        <v>0</v>
      </c>
      <c r="K196">
        <f>COUNTIFS('Test Cases'!$B$5:$B$500,B196,'Test Cases'!$C$5:$C$500,C196,'Test Cases'!$L$5:$L$500,"Blocked")</f>
        <v>0</v>
      </c>
    </row>
    <row r="197">
      <c r="A197" t="str">
        <v>F-193</v>
      </c>
      <c r="B197" t="str">
        <v>Accessibility</v>
      </c>
      <c r="C197" t="str">
        <v>404 internal page</v>
      </c>
      <c r="D197" t="str">
        <v>Functional</v>
      </c>
      <c r="E197" t="str">
        <v>Medium</v>
      </c>
      <c r="F197" t="str">
        <v>Core/Conditional</v>
      </c>
      <c r="G197">
        <f>COUNTIFS('Test Cases'!$B$5:$B$500,B197,'Test Cases'!$C$5:$C$500,C197)</f>
        <v>1</v>
      </c>
      <c r="H197">
        <f>COUNTIFS('Test Cases'!$B$5:$B$500,B197,'Test Cases'!$C$5:$C$500,C197,'Test Cases'!$L$5:$L$500,"&lt;&gt;Not Run")</f>
        <v>0</v>
      </c>
      <c r="I197">
        <f>COUNTIFS('Test Cases'!$B$5:$B$500,B197,'Test Cases'!$C$5:$C$500,C197,'Test Cases'!$L$5:$L$500,"Pass")</f>
        <v>0</v>
      </c>
      <c r="J197">
        <f>COUNTIFS('Test Cases'!$B$5:$B$500,B197,'Test Cases'!$C$5:$C$500,C197,'Test Cases'!$L$5:$L$500,"Fail")</f>
        <v>0</v>
      </c>
      <c r="K197">
        <f>COUNTIFS('Test Cases'!$B$5:$B$500,B197,'Test Cases'!$C$5:$C$500,C197,'Test Cases'!$L$5:$L$500,"Blocked")</f>
        <v>0</v>
      </c>
    </row>
    <row r="198">
      <c r="A198" t="str">
        <v>F-194</v>
      </c>
      <c r="B198" t="str">
        <v>Accessibility</v>
      </c>
      <c r="C198" t="str">
        <v>500/error handling</v>
      </c>
      <c r="D198" t="str">
        <v>Functional</v>
      </c>
      <c r="E198" t="str">
        <v>High</v>
      </c>
      <c r="F198" t="str">
        <v>Core/Conditional</v>
      </c>
      <c r="G198">
        <f>COUNTIFS('Test Cases'!$B$5:$B$500,B198,'Test Cases'!$C$5:$C$500,C198)</f>
        <v>1</v>
      </c>
      <c r="H198">
        <f>COUNTIFS('Test Cases'!$B$5:$B$500,B198,'Test Cases'!$C$5:$C$500,C198,'Test Cases'!$L$5:$L$500,"&lt;&gt;Not Run")</f>
        <v>0</v>
      </c>
      <c r="I198">
        <f>COUNTIFS('Test Cases'!$B$5:$B$500,B198,'Test Cases'!$C$5:$C$500,C198,'Test Cases'!$L$5:$L$500,"Pass")</f>
        <v>0</v>
      </c>
      <c r="J198">
        <f>COUNTIFS('Test Cases'!$B$5:$B$500,B198,'Test Cases'!$C$5:$C$500,C198,'Test Cases'!$L$5:$L$500,"Fail")</f>
        <v>0</v>
      </c>
      <c r="K198">
        <f>COUNTIFS('Test Cases'!$B$5:$B$500,B198,'Test Cases'!$C$5:$C$500,C198,'Test Cases'!$L$5:$L$500,"Blocked")</f>
        <v>0</v>
      </c>
    </row>
    <row r="199">
      <c r="A199" t="str">
        <v>F-195</v>
      </c>
      <c r="B199" t="str">
        <v>Accessibility</v>
      </c>
      <c r="C199" t="str">
        <v>Refresh during search</v>
      </c>
      <c r="D199" t="str">
        <v>Functional</v>
      </c>
      <c r="E199" t="str">
        <v>Medium</v>
      </c>
      <c r="F199" t="str">
        <v>Core/Conditional</v>
      </c>
      <c r="G199">
        <f>COUNTIFS('Test Cases'!$B$5:$B$500,B199,'Test Cases'!$C$5:$C$500,C199)</f>
        <v>1</v>
      </c>
      <c r="H199">
        <f>COUNTIFS('Test Cases'!$B$5:$B$500,B199,'Test Cases'!$C$5:$C$500,C199,'Test Cases'!$L$5:$L$500,"&lt;&gt;Not Run")</f>
        <v>0</v>
      </c>
      <c r="I199">
        <f>COUNTIFS('Test Cases'!$B$5:$B$500,B199,'Test Cases'!$C$5:$C$500,C199,'Test Cases'!$L$5:$L$500,"Pass")</f>
        <v>0</v>
      </c>
      <c r="J199">
        <f>COUNTIFS('Test Cases'!$B$5:$B$500,B199,'Test Cases'!$C$5:$C$500,C199,'Test Cases'!$L$5:$L$500,"Fail")</f>
        <v>0</v>
      </c>
      <c r="K199">
        <f>COUNTIFS('Test Cases'!$B$5:$B$500,B199,'Test Cases'!$C$5:$C$500,C199,'Test Cases'!$L$5:$L$500,"Blocked")</f>
        <v>0</v>
      </c>
    </row>
    <row r="200">
      <c r="A200" t="str">
        <v>F-196</v>
      </c>
      <c r="B200" t="str">
        <v>Accessibility</v>
      </c>
      <c r="C200" t="str">
        <v>Back/forward navigation</v>
      </c>
      <c r="D200" t="str">
        <v>Functional</v>
      </c>
      <c r="E200" t="str">
        <v>Medium</v>
      </c>
      <c r="F200" t="str">
        <v>Core/Conditional</v>
      </c>
      <c r="G200">
        <f>COUNTIFS('Test Cases'!$B$5:$B$500,B200,'Test Cases'!$C$5:$C$500,C200)</f>
        <v>1</v>
      </c>
      <c r="H200">
        <f>COUNTIFS('Test Cases'!$B$5:$B$500,B200,'Test Cases'!$C$5:$C$500,C200,'Test Cases'!$L$5:$L$500,"&lt;&gt;Not Run")</f>
        <v>0</v>
      </c>
      <c r="I200">
        <f>COUNTIFS('Test Cases'!$B$5:$B$500,B200,'Test Cases'!$C$5:$C$500,C200,'Test Cases'!$L$5:$L$500,"Pass")</f>
        <v>0</v>
      </c>
      <c r="J200">
        <f>COUNTIFS('Test Cases'!$B$5:$B$500,B200,'Test Cases'!$C$5:$C$500,C200,'Test Cases'!$L$5:$L$500,"Fail")</f>
        <v>0</v>
      </c>
      <c r="K200">
        <f>COUNTIFS('Test Cases'!$B$5:$B$500,B200,'Test Cases'!$C$5:$C$500,C200,'Test Cases'!$L$5:$L$500,"Blocked")</f>
        <v>0</v>
      </c>
    </row>
    <row r="201">
      <c r="A201" t="str">
        <v>F-197</v>
      </c>
      <c r="B201" t="str">
        <v>Admin</v>
      </c>
      <c r="C201" t="str">
        <v>Create job listing</v>
      </c>
      <c r="D201" t="str">
        <v>Functional</v>
      </c>
      <c r="E201" t="str">
        <v>High</v>
      </c>
      <c r="F201" t="str">
        <v>Conditional</v>
      </c>
      <c r="G201">
        <f>COUNTIFS('Test Cases'!$B$5:$B$500,B201,'Test Cases'!$C$5:$C$500,C201)</f>
        <v>1</v>
      </c>
      <c r="H201">
        <f>COUNTIFS('Test Cases'!$B$5:$B$500,B201,'Test Cases'!$C$5:$C$500,C201,'Test Cases'!$L$5:$L$500,"&lt;&gt;Not Run")</f>
        <v>0</v>
      </c>
      <c r="I201">
        <f>COUNTIFS('Test Cases'!$B$5:$B$500,B201,'Test Cases'!$C$5:$C$500,C201,'Test Cases'!$L$5:$L$500,"Pass")</f>
        <v>0</v>
      </c>
      <c r="J201">
        <f>COUNTIFS('Test Cases'!$B$5:$B$500,B201,'Test Cases'!$C$5:$C$500,C201,'Test Cases'!$L$5:$L$500,"Fail")</f>
        <v>0</v>
      </c>
      <c r="K201">
        <f>COUNTIFS('Test Cases'!$B$5:$B$500,B201,'Test Cases'!$C$5:$C$500,C201,'Test Cases'!$L$5:$L$500,"Blocked")</f>
        <v>0</v>
      </c>
    </row>
    <row r="202">
      <c r="A202" t="str">
        <v>F-198</v>
      </c>
      <c r="B202" t="str">
        <v>Admin</v>
      </c>
      <c r="C202" t="str">
        <v>Mandatory job fields</v>
      </c>
      <c r="D202" t="str">
        <v>Validation</v>
      </c>
      <c r="E202" t="str">
        <v>High</v>
      </c>
      <c r="F202" t="str">
        <v>Conditional</v>
      </c>
      <c r="G202">
        <f>COUNTIFS('Test Cases'!$B$5:$B$500,B202,'Test Cases'!$C$5:$C$500,C202)</f>
        <v>1</v>
      </c>
      <c r="H202">
        <f>COUNTIFS('Test Cases'!$B$5:$B$500,B202,'Test Cases'!$C$5:$C$500,C202,'Test Cases'!$L$5:$L$500,"&lt;&gt;Not Run")</f>
        <v>0</v>
      </c>
      <c r="I202">
        <f>COUNTIFS('Test Cases'!$B$5:$B$500,B202,'Test Cases'!$C$5:$C$500,C202,'Test Cases'!$L$5:$L$500,"Pass")</f>
        <v>0</v>
      </c>
      <c r="J202">
        <f>COUNTIFS('Test Cases'!$B$5:$B$500,B202,'Test Cases'!$C$5:$C$500,C202,'Test Cases'!$L$5:$L$500,"Fail")</f>
        <v>0</v>
      </c>
      <c r="K202">
        <f>COUNTIFS('Test Cases'!$B$5:$B$500,B202,'Test Cases'!$C$5:$C$500,C202,'Test Cases'!$L$5:$L$500,"Blocked")</f>
        <v>0</v>
      </c>
    </row>
    <row r="203">
      <c r="A203" t="str">
        <v>F-199</v>
      </c>
      <c r="B203" t="str">
        <v>Admin</v>
      </c>
      <c r="C203" t="str">
        <v>Invalid date sequence</v>
      </c>
      <c r="D203" t="str">
        <v>Boundary</v>
      </c>
      <c r="E203" t="str">
        <v>High</v>
      </c>
      <c r="F203" t="str">
        <v>Conditional</v>
      </c>
      <c r="G203">
        <f>COUNTIFS('Test Cases'!$B$5:$B$500,B203,'Test Cases'!$C$5:$C$500,C203)</f>
        <v>1</v>
      </c>
      <c r="H203">
        <f>COUNTIFS('Test Cases'!$B$5:$B$500,B203,'Test Cases'!$C$5:$C$500,C203,'Test Cases'!$L$5:$L$500,"&lt;&gt;Not Run")</f>
        <v>0</v>
      </c>
      <c r="I203">
        <f>COUNTIFS('Test Cases'!$B$5:$B$500,B203,'Test Cases'!$C$5:$C$500,C203,'Test Cases'!$L$5:$L$500,"Pass")</f>
        <v>0</v>
      </c>
      <c r="J203">
        <f>COUNTIFS('Test Cases'!$B$5:$B$500,B203,'Test Cases'!$C$5:$C$500,C203,'Test Cases'!$L$5:$L$500,"Fail")</f>
        <v>0</v>
      </c>
      <c r="K203">
        <f>COUNTIFS('Test Cases'!$B$5:$B$500,B203,'Test Cases'!$C$5:$C$500,C203,'Test Cases'!$L$5:$L$500,"Blocked")</f>
        <v>0</v>
      </c>
    </row>
    <row r="204">
      <c r="A204" t="str">
        <v>F-200</v>
      </c>
      <c r="B204" t="str">
        <v>Admin</v>
      </c>
      <c r="C204" t="str">
        <v>Publish/unpublish job</v>
      </c>
      <c r="D204" t="str">
        <v>Functional</v>
      </c>
      <c r="E204" t="str">
        <v>High</v>
      </c>
      <c r="F204" t="str">
        <v>Conditional</v>
      </c>
      <c r="G204">
        <f>COUNTIFS('Test Cases'!$B$5:$B$500,B204,'Test Cases'!$C$5:$C$500,C204)</f>
        <v>1</v>
      </c>
      <c r="H204">
        <f>COUNTIFS('Test Cases'!$B$5:$B$500,B204,'Test Cases'!$C$5:$C$500,C204,'Test Cases'!$L$5:$L$500,"&lt;&gt;Not Run")</f>
        <v>0</v>
      </c>
      <c r="I204">
        <f>COUNTIFS('Test Cases'!$B$5:$B$500,B204,'Test Cases'!$C$5:$C$500,C204,'Test Cases'!$L$5:$L$500,"Pass")</f>
        <v>0</v>
      </c>
      <c r="J204">
        <f>COUNTIFS('Test Cases'!$B$5:$B$500,B204,'Test Cases'!$C$5:$C$500,C204,'Test Cases'!$L$5:$L$500,"Fail")</f>
        <v>0</v>
      </c>
      <c r="K204">
        <f>COUNTIFS('Test Cases'!$B$5:$B$500,B204,'Test Cases'!$C$5:$C$500,C204,'Test Cases'!$L$5:$L$500,"Blocked")</f>
        <v>0</v>
      </c>
    </row>
    <row r="205">
      <c r="A205" t="str">
        <v>F-201</v>
      </c>
      <c r="B205" t="str">
        <v>Admin</v>
      </c>
      <c r="C205" t="str">
        <v>Edit source/apply URL</v>
      </c>
      <c r="D205" t="str">
        <v>Integration</v>
      </c>
      <c r="E205" t="str">
        <v>Critical</v>
      </c>
      <c r="F205" t="str">
        <v>Conditional</v>
      </c>
      <c r="G205">
        <f>COUNTIFS('Test Cases'!$B$5:$B$500,B205,'Test Cases'!$C$5:$C$500,C205)</f>
        <v>1</v>
      </c>
      <c r="H205">
        <f>COUNTIFS('Test Cases'!$B$5:$B$500,B205,'Test Cases'!$C$5:$C$500,C205,'Test Cases'!$L$5:$L$500,"&lt;&gt;Not Run")</f>
        <v>0</v>
      </c>
      <c r="I205">
        <f>COUNTIFS('Test Cases'!$B$5:$B$500,B205,'Test Cases'!$C$5:$C$500,C205,'Test Cases'!$L$5:$L$500,"Pass")</f>
        <v>0</v>
      </c>
      <c r="J205">
        <f>COUNTIFS('Test Cases'!$B$5:$B$500,B205,'Test Cases'!$C$5:$C$500,C205,'Test Cases'!$L$5:$L$500,"Fail")</f>
        <v>0</v>
      </c>
      <c r="K205">
        <f>COUNTIFS('Test Cases'!$B$5:$B$500,B205,'Test Cases'!$C$5:$C$500,C205,'Test Cases'!$L$5:$L$500,"Blocked")</f>
        <v>0</v>
      </c>
    </row>
    <row r="206">
      <c r="A206" t="str">
        <v>F-202</v>
      </c>
      <c r="B206" t="str">
        <v>Admin</v>
      </c>
      <c r="C206" t="str">
        <v>Duplicate job prevention</v>
      </c>
      <c r="D206" t="str">
        <v>Data Quality</v>
      </c>
      <c r="E206" t="str">
        <v>High</v>
      </c>
      <c r="F206" t="str">
        <v>Conditional</v>
      </c>
      <c r="G206">
        <f>COUNTIFS('Test Cases'!$B$5:$B$500,B206,'Test Cases'!$C$5:$C$500,C206)</f>
        <v>1</v>
      </c>
      <c r="H206">
        <f>COUNTIFS('Test Cases'!$B$5:$B$500,B206,'Test Cases'!$C$5:$C$500,C206,'Test Cases'!$L$5:$L$500,"&lt;&gt;Not Run")</f>
        <v>0</v>
      </c>
      <c r="I206">
        <f>COUNTIFS('Test Cases'!$B$5:$B$500,B206,'Test Cases'!$C$5:$C$500,C206,'Test Cases'!$L$5:$L$500,"Pass")</f>
        <v>0</v>
      </c>
      <c r="J206">
        <f>COUNTIFS('Test Cases'!$B$5:$B$500,B206,'Test Cases'!$C$5:$C$500,C206,'Test Cases'!$L$5:$L$500,"Fail")</f>
        <v>0</v>
      </c>
      <c r="K206">
        <f>COUNTIFS('Test Cases'!$B$5:$B$500,B206,'Test Cases'!$C$5:$C$500,C206,'Test Cases'!$L$5:$L$500,"Blocked")</f>
        <v>0</v>
      </c>
    </row>
    <row r="207">
      <c r="A207" t="str">
        <v>F-203</v>
      </c>
      <c r="B207" t="str">
        <v>Admin</v>
      </c>
      <c r="C207" t="str">
        <v>Audit trail if supported</v>
      </c>
      <c r="D207" t="str">
        <v>Functional</v>
      </c>
      <c r="E207" t="str">
        <v>Medium</v>
      </c>
      <c r="F207" t="str">
        <v>Conditional</v>
      </c>
      <c r="G207">
        <f>COUNTIFS('Test Cases'!$B$5:$B$500,B207,'Test Cases'!$C$5:$C$500,C207)</f>
        <v>1</v>
      </c>
      <c r="H207">
        <f>COUNTIFS('Test Cases'!$B$5:$B$500,B207,'Test Cases'!$C$5:$C$500,C207,'Test Cases'!$L$5:$L$500,"&lt;&gt;Not Run")</f>
        <v>0</v>
      </c>
      <c r="I207">
        <f>COUNTIFS('Test Cases'!$B$5:$B$500,B207,'Test Cases'!$C$5:$C$500,C207,'Test Cases'!$L$5:$L$500,"Pass")</f>
        <v>0</v>
      </c>
      <c r="J207">
        <f>COUNTIFS('Test Cases'!$B$5:$B$500,B207,'Test Cases'!$C$5:$C$500,C207,'Test Cases'!$L$5:$L$500,"Fail")</f>
        <v>0</v>
      </c>
      <c r="K207">
        <f>COUNTIFS('Test Cases'!$B$5:$B$500,B207,'Test Cases'!$C$5:$C$500,C207,'Test Cases'!$L$5:$L$500,"Blocked")</f>
        <v>0</v>
      </c>
    </row>
    <row r="208">
      <c r="A208" t="str">
        <v>F-204</v>
      </c>
      <c r="B208" t="str">
        <v>Admin</v>
      </c>
      <c r="C208" t="str">
        <v>Role-based permissions</v>
      </c>
      <c r="D208" t="str">
        <v>Security</v>
      </c>
      <c r="E208" t="str">
        <v>Critical</v>
      </c>
      <c r="F208" t="str">
        <v>Conditional</v>
      </c>
      <c r="G208">
        <f>COUNTIFS('Test Cases'!$B$5:$B$500,B208,'Test Cases'!$C$5:$C$500,C208)</f>
        <v>1</v>
      </c>
      <c r="H208">
        <f>COUNTIFS('Test Cases'!$B$5:$B$500,B208,'Test Cases'!$C$5:$C$500,C208,'Test Cases'!$L$5:$L$500,"&lt;&gt;Not Run")</f>
        <v>0</v>
      </c>
      <c r="I208">
        <f>COUNTIFS('Test Cases'!$B$5:$B$500,B208,'Test Cases'!$C$5:$C$500,C208,'Test Cases'!$L$5:$L$500,"Pass")</f>
        <v>0</v>
      </c>
      <c r="J208">
        <f>COUNTIFS('Test Cases'!$B$5:$B$500,B208,'Test Cases'!$C$5:$C$500,C208,'Test Cases'!$L$5:$L$500,"Fail")</f>
        <v>0</v>
      </c>
      <c r="K208">
        <f>COUNTIFS('Test Cases'!$B$5:$B$500,B208,'Test Cases'!$C$5:$C$500,C208,'Test Cases'!$L$5:$L$500,"Blocked")</f>
        <v>0</v>
      </c>
    </row>
    <row r="209">
      <c r="A209" t="str">
        <v>F-205</v>
      </c>
      <c r="B209" t="str">
        <v>Homepage</v>
      </c>
      <c r="C209" t="str">
        <v>Homepage loads</v>
      </c>
      <c r="D209" t="str">
        <v>Smoke</v>
      </c>
      <c r="E209" t="str">
        <v>High</v>
      </c>
      <c r="F209" t="str">
        <v>Core</v>
      </c>
      <c r="G209">
        <f>COUNTIFS('Test Cases'!$B$5:$B$500,B209,'Test Cases'!$C$5:$C$500,C209)</f>
        <v>1</v>
      </c>
      <c r="H209">
        <f>COUNTIFS('Test Cases'!$B$5:$B$500,B209,'Test Cases'!$C$5:$C$500,C209,'Test Cases'!$L$5:$L$500,"&lt;&gt;Not Run")</f>
        <v>0</v>
      </c>
      <c r="I209">
        <f>COUNTIFS('Test Cases'!$B$5:$B$500,B209,'Test Cases'!$C$5:$C$500,C209,'Test Cases'!$L$5:$L$500,"Pass")</f>
        <v>0</v>
      </c>
      <c r="J209">
        <f>COUNTIFS('Test Cases'!$B$5:$B$500,B209,'Test Cases'!$C$5:$C$500,C209,'Test Cases'!$L$5:$L$500,"Fail")</f>
        <v>0</v>
      </c>
      <c r="K209">
        <f>COUNTIFS('Test Cases'!$B$5:$B$500,B209,'Test Cases'!$C$5:$C$500,C209,'Test Cases'!$L$5:$L$500,"Blocked")</f>
        <v>0</v>
      </c>
    </row>
    <row r="210">
      <c r="A210" t="str">
        <v>F-206</v>
      </c>
      <c r="B210" t="str">
        <v>Homepage</v>
      </c>
      <c r="C210" t="str">
        <v>Primary navigation</v>
      </c>
      <c r="D210" t="str">
        <v>Functional</v>
      </c>
      <c r="E210" t="str">
        <v>High</v>
      </c>
      <c r="F210" t="str">
        <v>Core</v>
      </c>
      <c r="G210">
        <f>COUNTIFS('Test Cases'!$B$5:$B$500,B210,'Test Cases'!$C$5:$C$500,C210)</f>
        <v>1</v>
      </c>
      <c r="H210">
        <f>COUNTIFS('Test Cases'!$B$5:$B$500,B210,'Test Cases'!$C$5:$C$500,C210,'Test Cases'!$L$5:$L$500,"&lt;&gt;Not Run")</f>
        <v>0</v>
      </c>
      <c r="I210">
        <f>COUNTIFS('Test Cases'!$B$5:$B$500,B210,'Test Cases'!$C$5:$C$500,C210,'Test Cases'!$L$5:$L$500,"Pass")</f>
        <v>0</v>
      </c>
      <c r="J210">
        <f>COUNTIFS('Test Cases'!$B$5:$B$500,B210,'Test Cases'!$C$5:$C$500,C210,'Test Cases'!$L$5:$L$500,"Fail")</f>
        <v>0</v>
      </c>
      <c r="K210">
        <f>COUNTIFS('Test Cases'!$B$5:$B$500,B210,'Test Cases'!$C$5:$C$500,C210,'Test Cases'!$L$5:$L$500,"Blocked")</f>
        <v>0</v>
      </c>
    </row>
    <row r="211">
      <c r="A211" t="str">
        <v>F-207</v>
      </c>
      <c r="B211" t="str">
        <v>Homepage</v>
      </c>
      <c r="C211" t="str">
        <v>Logo/home link</v>
      </c>
      <c r="D211" t="str">
        <v>UI/UX</v>
      </c>
      <c r="E211" t="str">
        <v>Low</v>
      </c>
      <c r="F211" t="str">
        <v>Core</v>
      </c>
      <c r="G211">
        <f>COUNTIFS('Test Cases'!$B$5:$B$500,B211,'Test Cases'!$C$5:$C$500,C211)</f>
        <v>1</v>
      </c>
      <c r="H211">
        <f>COUNTIFS('Test Cases'!$B$5:$B$500,B211,'Test Cases'!$C$5:$C$500,C211,'Test Cases'!$L$5:$L$500,"&lt;&gt;Not Run")</f>
        <v>0</v>
      </c>
      <c r="I211">
        <f>COUNTIFS('Test Cases'!$B$5:$B$500,B211,'Test Cases'!$C$5:$C$500,C211,'Test Cases'!$L$5:$L$500,"Pass")</f>
        <v>0</v>
      </c>
      <c r="J211">
        <f>COUNTIFS('Test Cases'!$B$5:$B$500,B211,'Test Cases'!$C$5:$C$500,C211,'Test Cases'!$L$5:$L$500,"Fail")</f>
        <v>0</v>
      </c>
      <c r="K211">
        <f>COUNTIFS('Test Cases'!$B$5:$B$500,B211,'Test Cases'!$C$5:$C$500,C211,'Test Cases'!$L$5:$L$500,"Blocked")</f>
        <v>0</v>
      </c>
    </row>
    <row r="212">
      <c r="A212" t="str">
        <v>F-208</v>
      </c>
      <c r="B212" t="str">
        <v>Homepage</v>
      </c>
      <c r="C212" t="str">
        <v>Footer/legal links</v>
      </c>
      <c r="D212" t="str">
        <v>Functional</v>
      </c>
      <c r="E212" t="str">
        <v>Medium</v>
      </c>
      <c r="F212" t="str">
        <v>Core</v>
      </c>
      <c r="G212">
        <f>COUNTIFS('Test Cases'!$B$5:$B$500,B212,'Test Cases'!$C$5:$C$500,C212)</f>
        <v>1</v>
      </c>
      <c r="H212">
        <f>COUNTIFS('Test Cases'!$B$5:$B$500,B212,'Test Cases'!$C$5:$C$500,C212,'Test Cases'!$L$5:$L$500,"&lt;&gt;Not Run")</f>
        <v>0</v>
      </c>
      <c r="I212">
        <f>COUNTIFS('Test Cases'!$B$5:$B$500,B212,'Test Cases'!$C$5:$C$500,C212,'Test Cases'!$L$5:$L$500,"Pass")</f>
        <v>0</v>
      </c>
      <c r="J212">
        <f>COUNTIFS('Test Cases'!$B$5:$B$500,B212,'Test Cases'!$C$5:$C$500,C212,'Test Cases'!$L$5:$L$500,"Fail")</f>
        <v>0</v>
      </c>
      <c r="K212">
        <f>COUNTIFS('Test Cases'!$B$5:$B$500,B212,'Test Cases'!$C$5:$C$500,C212,'Test Cases'!$L$5:$L$500,"Blocked")</f>
        <v>0</v>
      </c>
    </row>
    <row r="213">
      <c r="A213" t="str">
        <v>F-209</v>
      </c>
      <c r="B213" t="str">
        <v>Homepage</v>
      </c>
      <c r="C213" t="str">
        <v>External link safety</v>
      </c>
      <c r="D213" t="str">
        <v>Security</v>
      </c>
      <c r="E213" t="str">
        <v>Medium</v>
      </c>
      <c r="F213" t="str">
        <v>Core</v>
      </c>
      <c r="G213">
        <f>COUNTIFS('Test Cases'!$B$5:$B$500,B213,'Test Cases'!$C$5:$C$500,C213)</f>
        <v>1</v>
      </c>
      <c r="H213">
        <f>COUNTIFS('Test Cases'!$B$5:$B$500,B213,'Test Cases'!$C$5:$C$500,C213,'Test Cases'!$L$5:$L$500,"&lt;&gt;Not Run")</f>
        <v>0</v>
      </c>
      <c r="I213">
        <f>COUNTIFS('Test Cases'!$B$5:$B$500,B213,'Test Cases'!$C$5:$C$500,C213,'Test Cases'!$L$5:$L$500,"Pass")</f>
        <v>0</v>
      </c>
      <c r="J213">
        <f>COUNTIFS('Test Cases'!$B$5:$B$500,B213,'Test Cases'!$C$5:$C$500,C213,'Test Cases'!$L$5:$L$500,"Fail")</f>
        <v>0</v>
      </c>
      <c r="K213">
        <f>COUNTIFS('Test Cases'!$B$5:$B$500,B213,'Test Cases'!$C$5:$C$500,C213,'Test Cases'!$L$5:$L$500,"Blocked")</f>
        <v>0</v>
      </c>
    </row>
    <row r="214">
      <c r="A214" t="str">
        <v>F-210</v>
      </c>
      <c r="B214" t="str">
        <v>Government Jobs</v>
      </c>
      <c r="C214" t="str">
        <v>Countdown &amp; Deadline Calculation</v>
      </c>
      <c r="D214" t="str">
        <v>Functional</v>
      </c>
      <c r="E214" t="str">
        <v>High</v>
      </c>
      <c r="F214" t="str">
        <v>Core</v>
      </c>
      <c r="G214">
        <f>COUNTIFS('Test Cases'!$B$5:$B$500,B214,'Test Cases'!$C$5:$C$500,C214)</f>
      </c>
      <c r="H214">
        <f>COUNTIFS('Test Cases'!$B$5:$B$500,B214,'Test Cases'!$C$5:$C$500,C214,'Test Cases'!$L$5:$L$500,"&lt;&gt;Not Run")</f>
      </c>
      <c r="I214">
        <f>COUNTIFS('Test Cases'!$B$5:$B$500,B214,'Test Cases'!$C$5:$C$500,C214,'Test Cases'!$L$5:$L$500,"Pass")</f>
      </c>
      <c r="J214">
        <f>COUNTIFS('Test Cases'!$B$5:$B$500,B214,'Test Cases'!$C$5:$C$500,C214,'Test Cases'!$L$5:$L$500,"Fail")</f>
      </c>
      <c r="K214">
        <f>COUNTIFS('Test Cases'!$B$5:$B$500,B214,'Test Cases'!$C$5:$C$500,C214,'Test Cases'!$L$5:$L$500,"Blocked")</f>
      </c>
      <c r="L214" t="str">
        <v>Identified defect logged as BUG-007</v>
      </c>
    </row>
    <row r="215">
      <c r="A215" t="str">
        <v>F-211</v>
      </c>
      <c r="B215" t="str">
        <v>Government Jobs</v>
      </c>
      <c r="C215" t="str">
        <v>Telemetry &amp; Active Openings Counter</v>
      </c>
      <c r="D215" t="str">
        <v>Functional</v>
      </c>
      <c r="E215" t="str">
        <v>High</v>
      </c>
      <c r="F215" t="str">
        <v>Core</v>
      </c>
      <c r="G215">
        <f>COUNTIFS('Test Cases'!$B$5:$B$500,B215,'Test Cases'!$C$5:$C$500,C215)</f>
      </c>
      <c r="H215">
        <f>COUNTIFS('Test Cases'!$B$5:$B$500,B215,'Test Cases'!$C$5:$C$500,C215,'Test Cases'!$L$5:$L$500,"&lt;&gt;Not Run")</f>
      </c>
      <c r="I215">
        <f>COUNTIFS('Test Cases'!$B$5:$B$500,B215,'Test Cases'!$C$5:$C$500,C215,'Test Cases'!$L$5:$L$500,"Pass")</f>
      </c>
      <c r="J215">
        <f>COUNTIFS('Test Cases'!$B$5:$B$500,B215,'Test Cases'!$C$5:$C$500,C215,'Test Cases'!$L$5:$L$500,"Fail")</f>
      </c>
      <c r="K215">
        <f>COUNTIFS('Test Cases'!$B$5:$B$500,B215,'Test Cases'!$C$5:$C$500,C215,'Test Cases'!$L$5:$L$500,"Blocked")</f>
      </c>
      <c r="L215" t="str">
        <v>Identified defect logged as BUG-008</v>
      </c>
    </row>
    <row r="216">
      <c r="A216" t="str">
        <v>F-212</v>
      </c>
      <c r="B216" t="str">
        <v>Job Search</v>
      </c>
      <c r="C216" t="str">
        <v>Social Proof &amp; Applicant Filter Integrity</v>
      </c>
      <c r="D216" t="str">
        <v>Data Quality</v>
      </c>
      <c r="E216" t="str">
        <v>Medium</v>
      </c>
      <c r="F216" t="str">
        <v>Core</v>
      </c>
      <c r="G216">
        <f>COUNTIFS('Test Cases'!$B$5:$B$500,B216,'Test Cases'!$C$5:$C$500,C216)</f>
      </c>
      <c r="H216">
        <f>COUNTIFS('Test Cases'!$B$5:$B$500,B216,'Test Cases'!$C$5:$C$500,C216,'Test Cases'!$L$5:$L$500,"&lt;&gt;Not Run")</f>
      </c>
      <c r="I216">
        <f>COUNTIFS('Test Cases'!$B$5:$B$500,B216,'Test Cases'!$C$5:$C$500,C216,'Test Cases'!$L$5:$L$500,"Pass")</f>
      </c>
      <c r="J216">
        <f>COUNTIFS('Test Cases'!$B$5:$B$500,B216,'Test Cases'!$C$5:$C$500,C216,'Test Cases'!$L$5:$L$500,"Fail")</f>
      </c>
      <c r="K216">
        <f>COUNTIFS('Test Cases'!$B$5:$B$500,B216,'Test Cases'!$C$5:$C$500,C216,'Test Cases'!$L$5:$L$500,"Blocked")</f>
      </c>
      <c r="L216" t="str">
        <v>Identified defect logged as BUG-009</v>
      </c>
    </row>
    <row r="217">
      <c r="A217" t="str">
        <v>F-213</v>
      </c>
      <c r="B217" t="str">
        <v>Government Jobs</v>
      </c>
      <c r="C217" t="str">
        <v>Official Gazette &amp; Conducting Body Accuracy</v>
      </c>
      <c r="D217" t="str">
        <v>Validation</v>
      </c>
      <c r="E217" t="str">
        <v>Low</v>
      </c>
      <c r="F217" t="str">
        <v>Core</v>
      </c>
      <c r="G217">
        <f>COUNTIFS('Test Cases'!$B$5:$B$500,B217,'Test Cases'!$C$5:$C$500,C217)</f>
      </c>
      <c r="H217">
        <f>COUNTIFS('Test Cases'!$B$5:$B$500,B217,'Test Cases'!$C$5:$C$500,C217,'Test Cases'!$L$5:$L$500,"&lt;&gt;Not Run")</f>
      </c>
      <c r="I217">
        <f>COUNTIFS('Test Cases'!$B$5:$B$500,B217,'Test Cases'!$C$5:$C$500,C217,'Test Cases'!$L$5:$L$500,"Pass")</f>
      </c>
      <c r="J217">
        <f>COUNTIFS('Test Cases'!$B$5:$B$500,B217,'Test Cases'!$C$5:$C$500,C217,'Test Cases'!$L$5:$L$500,"Fail")</f>
      </c>
      <c r="K217">
        <f>COUNTIFS('Test Cases'!$B$5:$B$500,B217,'Test Cases'!$C$5:$C$500,C217,'Test Cases'!$L$5:$L$500,"Blocked")</f>
      </c>
      <c r="L217" t="str">
        <v>Identified defect logged as BUG-010</v>
      </c>
    </row>
  </sheetData>
  <mergeCells count="2">
    <mergeCell ref="A1:L1"/>
    <mergeCell ref="A2:L2"/>
  </mergeCells>
  <pageMargins left="0.7" right="0.7" top="0.75" bottom="0.75" header="0.3" footer="0.3"/>
  <ignoredErrors>
    <ignoredError numberStoredAsText="1" sqref="A1:L2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17"/>
  <sheetViews>
    <sheetView workbookViewId="0" rightToLeft="0"/>
  </sheetViews>
  <sheetData>
    <row r="1">
      <c r="A1" t="str">
        <v>Test Case Library — Job Portal Aggregator</v>
      </c>
    </row>
    <row r="2">
      <c r="A2" t="str">
        <v>209 prepared test cases. Work from top to bottom, or filter by module/priority/test type. The same sheet captures actual result and execution status; defects go to Bug Log.</v>
      </c>
    </row>
    <row r="4">
      <c r="A4" t="str">
        <v>Test Case ID</v>
      </c>
      <c r="B4" t="str">
        <v>Module</v>
      </c>
      <c r="C4" t="str">
        <v>Feature / Capability</v>
      </c>
      <c r="D4" t="str">
        <v>Test Type</v>
      </c>
      <c r="E4" t="str">
        <v>Priority</v>
      </c>
      <c r="F4" t="str">
        <v>Scenario</v>
      </c>
      <c r="G4" t="str">
        <v>Preconditions</v>
      </c>
      <c r="H4" t="str">
        <v>Steps</v>
      </c>
      <c r="I4" t="str">
        <v>Expected Result</v>
      </c>
      <c r="J4" t="str">
        <v>Actual Result</v>
      </c>
      <c r="K4" t="str">
        <v>Test Data</v>
      </c>
      <c r="L4" t="str">
        <v>Status</v>
      </c>
      <c r="M4" t="str">
        <v>Bug ID</v>
      </c>
      <c r="N4" t="str">
        <v>Execution Date</v>
      </c>
      <c r="O4" t="str">
        <v>Evidence / Link</v>
      </c>
      <c r="P4" t="str">
        <v>Scope</v>
      </c>
    </row>
    <row r="5">
      <c r="A5" t="str">
        <v>AUTH-001</v>
      </c>
      <c r="B5" t="str">
        <v>Authentication</v>
      </c>
      <c r="C5" t="str">
        <v>Registration with valid data</v>
      </c>
      <c r="D5" t="str">
        <v>Smoke</v>
      </c>
      <c r="E5" t="str">
        <v>High</v>
      </c>
      <c r="F5" t="str">
        <v>Create account with valid details</v>
      </c>
      <c r="G5" t="str">
        <v>Registration page available</v>
      </c>
      <c r="H5" t="str">
        <v>Enter valid name, email, mobile and password; submit</v>
      </c>
      <c r="I5" t="str">
        <v>Account is created and confirmation is shown.</v>
      </c>
      <c r="J5" t="str">
        <v>Outbound delivery failure on live production: OTP SMS/Email does not arrive in user inbox due to unconfigured Resend/Twilio production keys. Only sandbox on-screen code is provided.</v>
      </c>
      <c r="K5" t="str">
        <v>Candidate Mobile (+919876543210) &amp; Email</v>
      </c>
      <c r="L5" t="str">
        <v>Fail</v>
      </c>
      <c r="M5" t="str">
        <v>BUG-001</v>
      </c>
      <c r="N5" t="str">
        <v>2026-09-28</v>
      </c>
      <c r="O5" t="str">
        <v>/api/auth/otp/send</v>
      </c>
      <c r="P5" t="str">
        <v>Core</v>
      </c>
    </row>
    <row r="6">
      <c r="A6" t="str">
        <v>AUTH-002</v>
      </c>
      <c r="B6" t="str">
        <v>Authentication</v>
      </c>
      <c r="C6" t="str">
        <v>Duplicate email registration</v>
      </c>
      <c r="D6" t="str">
        <v>Negative</v>
      </c>
      <c r="E6" t="str">
        <v>High</v>
      </c>
      <c r="F6" t="str">
        <v>Prevent duplicate account</v>
      </c>
      <c r="G6" t="str">
        <v>Email already registered</v>
      </c>
      <c r="H6" t="str">
        <v>Enter an existing email and valid remaining fields; submit</v>
      </c>
      <c r="I6" t="str">
        <v>Duplicate account is prevented and a clear validation message is shown.</v>
      </c>
      <c r="J6" t="str">
        <v>Verified: Supabase Auth blocks duplicate signup with "User already registered" message.</v>
      </c>
      <c r="K6" t="str">
        <v>existing.user@gmail.com</v>
      </c>
      <c r="L6" t="str">
        <v>Pass</v>
      </c>
      <c r="N6" t="str">
        <v>2026-09-28</v>
      </c>
      <c r="O6" t="str">
        <v>/auth</v>
      </c>
      <c r="P6" t="str">
        <v>Core</v>
      </c>
    </row>
    <row r="7">
      <c r="A7" t="str">
        <v>AUTH-003</v>
      </c>
      <c r="B7" t="str">
        <v>Authentication</v>
      </c>
      <c r="C7" t="str">
        <v>Invalid email format</v>
      </c>
      <c r="D7" t="str">
        <v>Negative</v>
      </c>
      <c r="E7" t="str">
        <v>High</v>
      </c>
      <c r="F7" t="str">
        <v>Validate email format</v>
      </c>
      <c r="G7" t="str">
        <v>Registration page available</v>
      </c>
      <c r="H7" t="str">
        <v>Enter invalid email such as a@; submit</v>
      </c>
      <c r="I7" t="str">
        <v>Invalid email is rejected with clear message.</v>
      </c>
      <c r="J7" t="str">
        <v>Verified: HTML5 type="email" and regex validation in handleSendOtp reject "a@" and malformed email strings before submission.</v>
      </c>
      <c r="K7" t="str">
        <v>a@, test@invalid</v>
      </c>
      <c r="L7" t="str">
        <v>Pass</v>
      </c>
      <c r="N7" t="str">
        <v>2026-09-28</v>
      </c>
      <c r="O7" t="str">
        <v>app/components/AuthModal.tsx</v>
      </c>
      <c r="P7" t="str">
        <v>Core</v>
      </c>
    </row>
    <row r="8">
      <c r="A8" t="str">
        <v>AUTH-004</v>
      </c>
      <c r="B8" t="str">
        <v>Authentication</v>
      </c>
      <c r="C8" t="str">
        <v>Required-field validation</v>
      </c>
      <c r="D8" t="str">
        <v>Validation</v>
      </c>
      <c r="E8" t="str">
        <v>High</v>
      </c>
      <c r="F8" t="str">
        <v>Reject blank mandatory fields</v>
      </c>
      <c r="G8" t="str">
        <v>Registration page available</v>
      </c>
      <c r="H8" t="str">
        <v>Leave required fields blank; submit</v>
      </c>
      <c r="I8" t="str">
        <v>Mandatory fields are highlighted and submission is blocked.</v>
      </c>
      <c r="J8" t="str">
        <v>Verified: Submitting blank input triggers error toast: "Please enter your 10-digit mobile number or email address."</v>
      </c>
      <c r="K8" t="str">
        <v>Empty identifier string</v>
      </c>
      <c r="L8" t="str">
        <v>Pass</v>
      </c>
      <c r="N8" t="str">
        <v>2026-09-28</v>
      </c>
      <c r="O8" t="str">
        <v>app/components/AuthModal.tsx</v>
      </c>
      <c r="P8" t="str">
        <v>Core</v>
      </c>
    </row>
    <row r="9">
      <c r="A9" t="str">
        <v>AUTH-005</v>
      </c>
      <c r="B9" t="str">
        <v>Authentication</v>
      </c>
      <c r="C9" t="str">
        <v>Password policy</v>
      </c>
      <c r="D9" t="str">
        <v>Boundary</v>
      </c>
      <c r="E9" t="str">
        <v>High</v>
      </c>
      <c r="F9" t="str">
        <v>Validate minimum/maximum password rules</v>
      </c>
      <c r="G9" t="str">
        <v>Registration page available</v>
      </c>
      <c r="H9" t="str">
        <v>Test below-minimum, exact-minimum and above-maximum lengths</v>
      </c>
      <c r="I9" t="str">
        <v>Rules are enforced consistently.</v>
      </c>
      <c r="J9" t="str">
        <v>Verified: Supabase Auth enforces minimum 6-character password length; shorter passwords rejected with "Password should be at least 6 characters".</v>
      </c>
      <c r="K9" t="str">
        <v>pwd="123" (&lt;6 chars)</v>
      </c>
      <c r="L9" t="str">
        <v>Pass</v>
      </c>
      <c r="N9" t="str">
        <v>2026-09-28</v>
      </c>
      <c r="O9" t="str">
        <v>/auth</v>
      </c>
      <c r="P9" t="str">
        <v>Core</v>
      </c>
    </row>
    <row r="10">
      <c r="A10" t="str">
        <v>AUTH-006</v>
      </c>
      <c r="B10" t="str">
        <v>Authentication</v>
      </c>
      <c r="C10" t="str">
        <v>Confirm password mismatch</v>
      </c>
      <c r="D10" t="str">
        <v>Negative</v>
      </c>
      <c r="E10" t="str">
        <v>Medium</v>
      </c>
      <c r="F10" t="str">
        <v>Prevent mismatch</v>
      </c>
      <c r="G10" t="str">
        <v>Registration page available</v>
      </c>
      <c r="H10" t="str">
        <v>Enter different password and confirmation; submit</v>
      </c>
      <c r="I10" t="str">
        <v>Submission is blocked with mismatch message.</v>
      </c>
      <c r="J10" t="str">
        <v>Not Applicable: AuthModal signup form does not include a "Confirm Password" input field (only Email and Password).</v>
      </c>
      <c r="K10" t="str">
        <v>N/A</v>
      </c>
      <c r="L10" t="str">
        <v>Not Applicable</v>
      </c>
      <c r="N10" t="str">
        <v>2026-09-28</v>
      </c>
      <c r="O10" t="str">
        <v>app/components/AuthModal.tsx:195</v>
      </c>
      <c r="P10" t="str">
        <v>Core</v>
      </c>
    </row>
    <row r="11">
      <c r="A11" t="str">
        <v>AUTH-007</v>
      </c>
      <c r="B11" t="str">
        <v>Authentication</v>
      </c>
      <c r="C11" t="str">
        <v>OTP valid</v>
      </c>
      <c r="D11" t="str">
        <v>Functional</v>
      </c>
      <c r="E11" t="str">
        <v>High</v>
      </c>
      <c r="F11" t="str">
        <v>Verify account with correct OTP</v>
      </c>
      <c r="G11" t="str">
        <v>OTP sent</v>
      </c>
      <c r="H11" t="str">
        <v>Enter correct unexpired OTP</v>
      </c>
      <c r="I11" t="str">
        <v>OTP is accepted and verification succeeds.</v>
      </c>
      <c r="J11" t="str">
        <v>Verified: Entering the exact 6-digit OTP code in the verification modal successfully creates candidate session and returns assigned referral code.</v>
      </c>
      <c r="K11" t="str">
        <v>6-digit valid code</v>
      </c>
      <c r="L11" t="str">
        <v>Pass</v>
      </c>
      <c r="N11" t="str">
        <v>2026-09-28</v>
      </c>
      <c r="O11" t="str">
        <v>/api/auth/otp/verify</v>
      </c>
      <c r="P11" t="str">
        <v>Core</v>
      </c>
    </row>
    <row r="12">
      <c r="A12" t="str">
        <v>AUTH-008</v>
      </c>
      <c r="B12" t="str">
        <v>Authentication</v>
      </c>
      <c r="C12" t="str">
        <v>OTP invalid</v>
      </c>
      <c r="D12" t="str">
        <v>Negative</v>
      </c>
      <c r="E12" t="str">
        <v>High</v>
      </c>
      <c r="F12" t="str">
        <v>Reject wrong OTP</v>
      </c>
      <c r="G12" t="str">
        <v>OTP sent</v>
      </c>
      <c r="H12" t="str">
        <v>Enter wrong OTP</v>
      </c>
      <c r="I12" t="str">
        <v>Verification fails without logging user in.</v>
      </c>
      <c r="J12" t="str">
        <v>Verified: Deliberately submitting incorrect OTP returns HTTP 400 with "Incorrect OTP code. Please try again." No session created.</v>
      </c>
      <c r="K12" t="str">
        <v>000000, 123456</v>
      </c>
      <c r="L12" t="str">
        <v>Pass</v>
      </c>
      <c r="N12" t="str">
        <v>2026-09-28</v>
      </c>
      <c r="O12" t="str">
        <v>/api/auth/otp/verify</v>
      </c>
      <c r="P12" t="str">
        <v>Core</v>
      </c>
    </row>
    <row r="13">
      <c r="A13" t="str">
        <v>AUTH-009</v>
      </c>
      <c r="B13" t="str">
        <v>Authentication</v>
      </c>
      <c r="C13" t="str">
        <v>OTP expiry</v>
      </c>
      <c r="D13" t="str">
        <v>Boundary</v>
      </c>
      <c r="E13" t="str">
        <v>High</v>
      </c>
      <c r="F13" t="str">
        <v>Reject expired OTP</v>
      </c>
      <c r="G13" t="str">
        <v>OTP expired</v>
      </c>
      <c r="H13" t="str">
        <v>Enter an expired OTP</v>
      </c>
      <c r="I13" t="str">
        <v>Expired OTP is rejected and user can request a new OTP.</v>
      </c>
      <c r="J13" t="str">
        <v>Verified: In-memory OTP store enforces 5-minute (300s) TTL; expired OTP attempts return 400 "Invalid or expired OTP code".</v>
      </c>
      <c r="K13" t="str">
        <v>OTP &gt; 300s old</v>
      </c>
      <c r="L13" t="str">
        <v>Pass</v>
      </c>
      <c r="N13" t="str">
        <v>2026-09-28</v>
      </c>
      <c r="O13" t="str">
        <v>lib/otpStore.ts:55</v>
      </c>
      <c r="P13" t="str">
        <v>Core</v>
      </c>
    </row>
    <row r="14">
      <c r="A14" t="str">
        <v>AUTH-010</v>
      </c>
      <c r="B14" t="str">
        <v>Authentication</v>
      </c>
      <c r="C14" t="str">
        <v>OTP resend throttling</v>
      </c>
      <c r="D14" t="str">
        <v>Security</v>
      </c>
      <c r="E14" t="str">
        <v>Medium</v>
      </c>
      <c r="F14" t="str">
        <v>Prevent OTP abuse</v>
      </c>
      <c r="G14" t="str">
        <v>OTP feature enabled</v>
      </c>
      <c r="H14" t="str">
        <v>Request multiple OTPs rapidly</v>
      </c>
      <c r="I14" t="str">
        <v>System applies defined rate limit/cooldown.</v>
      </c>
      <c r="J14" t="str">
        <v>Verified: Resend OTP button enforces a 60-second client-side countdown timer and server-side rate limit.</v>
      </c>
      <c r="K14" t="str">
        <v>Rapid resend clicks</v>
      </c>
      <c r="L14" t="str">
        <v>Pass</v>
      </c>
      <c r="N14" t="str">
        <v>2026-09-28</v>
      </c>
      <c r="O14" t="str">
        <v>app/components/AuthModal.tsx:66</v>
      </c>
      <c r="P14" t="str">
        <v>Core</v>
      </c>
    </row>
    <row r="15">
      <c r="A15" t="str">
        <v>AUTH-011</v>
      </c>
      <c r="B15" t="str">
        <v>Authentication</v>
      </c>
      <c r="C15" t="str">
        <v>Login valid</v>
      </c>
      <c r="D15" t="str">
        <v>Smoke</v>
      </c>
      <c r="E15" t="str">
        <v>Critical</v>
      </c>
      <c r="F15" t="str">
        <v>Login with valid credentials</v>
      </c>
      <c r="G15" t="str">
        <v>Registered user</v>
      </c>
      <c r="H15" t="str">
        <v>Enter valid credentials; login</v>
      </c>
      <c r="I15" t="str">
        <v>User is authenticated and lands on the correct page.</v>
      </c>
      <c r="J15" t="str">
        <v>Verified: Entering registered email and password authenticates user, establishes session, and closes modal.</v>
      </c>
      <c r="K15" t="str">
        <v>registered email + valid password</v>
      </c>
      <c r="L15" t="str">
        <v>Pass</v>
      </c>
      <c r="N15" t="str">
        <v>2026-09-28</v>
      </c>
      <c r="O15" t="str">
        <v>/auth</v>
      </c>
      <c r="P15" t="str">
        <v>Core</v>
      </c>
    </row>
    <row r="16">
      <c r="A16" t="str">
        <v>AUTH-012</v>
      </c>
      <c r="B16" t="str">
        <v>Authentication</v>
      </c>
      <c r="C16" t="str">
        <v>Login wrong password</v>
      </c>
      <c r="D16" t="str">
        <v>Negative</v>
      </c>
      <c r="E16" t="str">
        <v>High</v>
      </c>
      <c r="F16" t="str">
        <v>Reject bad password</v>
      </c>
      <c r="G16" t="str">
        <v>Registered user</v>
      </c>
      <c r="H16" t="str">
        <v>Enter valid email and wrong password</v>
      </c>
      <c r="I16" t="str">
        <v>Login fails with generic/correct error.</v>
      </c>
      <c r="J16" t="str">
        <v>Verified: Wrong password returns "Invalid login credentials" from Supabase Auth without logging in.</v>
      </c>
      <c r="K16" t="str">
        <v>valid email + wrong password</v>
      </c>
      <c r="L16" t="str">
        <v>Pass</v>
      </c>
      <c r="N16" t="str">
        <v>2026-09-28</v>
      </c>
      <c r="O16" t="str">
        <v>/auth</v>
      </c>
      <c r="P16" t="str">
        <v>Core</v>
      </c>
    </row>
    <row r="17">
      <c r="A17" t="str">
        <v>AUTH-013</v>
      </c>
      <c r="B17" t="str">
        <v>Authentication</v>
      </c>
      <c r="C17" t="str">
        <v>Login unknown account</v>
      </c>
      <c r="D17" t="str">
        <v>Negative</v>
      </c>
      <c r="E17" t="str">
        <v>Medium</v>
      </c>
      <c r="F17" t="str">
        <v>Handle unknown user</v>
      </c>
      <c r="G17" t="str">
        <v>No matching account</v>
      </c>
      <c r="H17" t="str">
        <v>Enter unregistered email</v>
      </c>
      <c r="I17" t="str">
        <v>Login fails safely without leaking account details.</v>
      </c>
      <c r="J17" t="str">
        <v>Verified: Unregistered email returns generic "Invalid login credentials" error, preventing user enumeration.</v>
      </c>
      <c r="K17" t="str">
        <v>nonexistent_test_account_99@gmail.com</v>
      </c>
      <c r="L17" t="str">
        <v>Pass</v>
      </c>
      <c r="N17" t="str">
        <v>2026-09-28</v>
      </c>
      <c r="O17" t="str">
        <v>/auth</v>
      </c>
      <c r="P17" t="str">
        <v>Core</v>
      </c>
    </row>
    <row r="18">
      <c r="A18" t="str">
        <v>AUTH-014</v>
      </c>
      <c r="B18" t="str">
        <v>Authentication</v>
      </c>
      <c r="C18" t="str">
        <v>Login blank fields</v>
      </c>
      <c r="D18" t="str">
        <v>Validation</v>
      </c>
      <c r="E18" t="str">
        <v>High</v>
      </c>
      <c r="F18" t="str">
        <v>Validate login fields</v>
      </c>
      <c r="G18" t="str">
        <v>Login page available</v>
      </c>
      <c r="H18" t="str">
        <v>Submit blank email/password</v>
      </c>
      <c r="I18" t="str">
        <v>Submission blocked and fields validated.</v>
      </c>
      <c r="J18" t="str">
        <v>Verified: Blank email or password input prevented by HTML5 `required` attribute and React state guards.</v>
      </c>
      <c r="K18" t="str">
        <v>Blank fields</v>
      </c>
      <c r="L18" t="str">
        <v>Pass</v>
      </c>
      <c r="N18" t="str">
        <v>2026-09-28</v>
      </c>
      <c r="O18" t="str">
        <v>app/components/AuthModal.tsx</v>
      </c>
      <c r="P18" t="str">
        <v>Core</v>
      </c>
    </row>
    <row r="19">
      <c r="A19" t="str">
        <v>AUTH-015</v>
      </c>
      <c r="B19" t="str">
        <v>Authentication</v>
      </c>
      <c r="C19" t="str">
        <v>Logout</v>
      </c>
      <c r="D19" t="str">
        <v>Smoke</v>
      </c>
      <c r="E19" t="str">
        <v>High</v>
      </c>
      <c r="F19" t="str">
        <v>End authenticated session</v>
      </c>
      <c r="G19" t="str">
        <v>Logged-in user</v>
      </c>
      <c r="H19" t="str">
        <v>Click logout</v>
      </c>
      <c r="I19" t="str">
        <v>Session is ended and protected pages require login.</v>
      </c>
      <c r="J19" t="str">
        <v>Verified: Clicking Logout clears candidate/employer session from localStorage and cookies, resetting navbar state.</v>
      </c>
      <c r="K19" t="str">
        <v>Logout button click</v>
      </c>
      <c r="L19" t="str">
        <v>Pass</v>
      </c>
      <c r="N19" t="str">
        <v>2026-09-28</v>
      </c>
      <c r="O19" t="str">
        <v>app/lib/authSession.ts:clearCandidateSession()</v>
      </c>
      <c r="P19" t="str">
        <v>Core</v>
      </c>
    </row>
    <row r="20">
      <c r="A20" t="str">
        <v>AUTH-016</v>
      </c>
      <c r="B20" t="str">
        <v>Authentication</v>
      </c>
      <c r="C20" t="str">
        <v>Back button after logout</v>
      </c>
      <c r="D20" t="str">
        <v>Security</v>
      </c>
      <c r="E20" t="str">
        <v>High</v>
      </c>
      <c r="F20" t="str">
        <v>Prevent access through browser cache</v>
      </c>
      <c r="G20" t="str">
        <v>User logged out</v>
      </c>
      <c r="H20" t="str">
        <v>Use browser Back</v>
      </c>
      <c r="I20" t="str">
        <v>Protected content is not accessible from cached session state.</v>
      </c>
      <c r="J20" t="str">
        <v>Verified: Protected dashboards (`/dashboard`, `/employer/dashboard`) check session on mount and redirect to home if logged out.</v>
      </c>
      <c r="K20" t="str">
        <v>Browser Back button post-logout</v>
      </c>
      <c r="L20" t="str">
        <v>Pass</v>
      </c>
      <c r="N20" t="str">
        <v>2026-09-28</v>
      </c>
      <c r="O20" t="str">
        <v>app/dashboard/page.tsx:28</v>
      </c>
      <c r="P20" t="str">
        <v>Core</v>
      </c>
    </row>
    <row r="21">
      <c r="A21" t="str">
        <v>AUTH-017</v>
      </c>
      <c r="B21" t="str">
        <v>Authentication</v>
      </c>
      <c r="C21" t="str">
        <v>Session timeout</v>
      </c>
      <c r="D21" t="str">
        <v>Security</v>
      </c>
      <c r="E21" t="str">
        <v>High</v>
      </c>
      <c r="F21" t="str">
        <v>Expire inactive session</v>
      </c>
      <c r="G21" t="str">
        <v>Timeout configured</v>
      </c>
      <c r="H21" t="str">
        <v>Remain inactive beyond configured timeout</v>
      </c>
      <c r="I21" t="str">
        <v>User is logged out or prompted to re-authenticate.</v>
      </c>
      <c r="J21" t="str">
        <v>Verified: Client auth session enforces a 2.5-hour maximum lifespan (`SESSION_EXPIRY_MS = 2.5 * 60 * 60 * 1000`) before requiring re-auth.</v>
      </c>
      <c r="K21" t="str">
        <v>Timestamp &gt; 2.5 hrs</v>
      </c>
      <c r="L21" t="str">
        <v>Pass</v>
      </c>
      <c r="N21" t="str">
        <v>2026-09-28</v>
      </c>
      <c r="O21" t="str">
        <v>app/lib/authSession.ts:10</v>
      </c>
      <c r="P21" t="str">
        <v>Core</v>
      </c>
    </row>
    <row r="22">
      <c r="A22" t="str">
        <v>AUTH-018</v>
      </c>
      <c r="B22" t="str">
        <v>Authentication</v>
      </c>
      <c r="C22" t="str">
        <v>Concurrent session behavior</v>
      </c>
      <c r="D22" t="str">
        <v>Security</v>
      </c>
      <c r="E22" t="str">
        <v>Medium</v>
      </c>
      <c r="F22" t="str">
        <v>Validate multiple logins</v>
      </c>
      <c r="G22" t="str">
        <v>Account exists</v>
      </c>
      <c r="H22" t="str">
        <v>Login from two devices/browsers if supported</v>
      </c>
      <c r="I22" t="str">
        <v>Behavior matches product rule; no unintended session leak.</v>
      </c>
      <c r="J22" t="str">
        <v>Verified: Dual logins from desktop and mobile browser maintain separate valid JWT tokens in Supabase.</v>
      </c>
      <c r="K22" t="str">
        <v>Chrome desktop + Android mobile</v>
      </c>
      <c r="L22" t="str">
        <v>Pass</v>
      </c>
      <c r="N22" t="str">
        <v>2026-09-28</v>
      </c>
      <c r="O22" t="str">
        <v>/dashboard</v>
      </c>
      <c r="P22" t="str">
        <v>Core</v>
      </c>
    </row>
    <row r="23">
      <c r="A23" t="str">
        <v>AUTH-019</v>
      </c>
      <c r="B23" t="str">
        <v>Authentication</v>
      </c>
      <c r="C23" t="str">
        <v>Forgot password valid</v>
      </c>
      <c r="D23" t="str">
        <v>Functional</v>
      </c>
      <c r="E23" t="str">
        <v>High</v>
      </c>
      <c r="F23" t="str">
        <v>Reset password</v>
      </c>
      <c r="G23" t="str">
        <v>Registered email</v>
      </c>
      <c r="H23" t="str">
        <v>Request reset; use valid token; set new password</v>
      </c>
      <c r="I23" t="str">
        <v>Password is reset successfully.</v>
      </c>
      <c r="J23" t="str">
        <v>Blocked / Not Implemented: AuthModal does not contain a "Forgot Password" link or self-service password reset email request form.</v>
      </c>
      <c r="K23" t="str">
        <v>N/A</v>
      </c>
      <c r="L23" t="str">
        <v>Blocked</v>
      </c>
      <c r="N23" t="str">
        <v>2026-09-28</v>
      </c>
      <c r="O23" t="str">
        <v>app/components/AuthModal.tsx</v>
      </c>
      <c r="P23" t="str">
        <v>Core</v>
      </c>
    </row>
    <row r="24">
      <c r="A24" t="str">
        <v>AUTH-020</v>
      </c>
      <c r="B24" t="str">
        <v>Authentication</v>
      </c>
      <c r="C24" t="str">
        <v>Forgot password expired link</v>
      </c>
      <c r="D24" t="str">
        <v>Negative</v>
      </c>
      <c r="E24" t="str">
        <v>High</v>
      </c>
      <c r="F24" t="str">
        <v>Reject expired reset link</v>
      </c>
      <c r="G24" t="str">
        <v>Expired reset token</v>
      </c>
      <c r="H24" t="str">
        <v>Open expired link</v>
      </c>
      <c r="I24" t="str">
        <v>Reset is blocked and user can request a new link.</v>
      </c>
      <c r="J24" t="str">
        <v>Blocked / Not Implemented: No self-service password reset token flow implemented in frontend.</v>
      </c>
      <c r="K24" t="str">
        <v>N/A</v>
      </c>
      <c r="L24" t="str">
        <v>Blocked</v>
      </c>
      <c r="N24" t="str">
        <v>2026-09-28</v>
      </c>
      <c r="O24" t="str">
        <v>app/components/AuthModal.tsx</v>
      </c>
      <c r="P24" t="str">
        <v>Core</v>
      </c>
    </row>
    <row r="25">
      <c r="A25" t="str">
        <v>AUTH-021</v>
      </c>
      <c r="B25" t="str">
        <v>Authentication</v>
      </c>
      <c r="C25" t="str">
        <v>Password reset invalid token</v>
      </c>
      <c r="D25" t="str">
        <v>Security</v>
      </c>
      <c r="E25" t="str">
        <v>High</v>
      </c>
      <c r="F25" t="str">
        <v>Reject tampered reset token</v>
      </c>
      <c r="G25" t="str">
        <v>Reset feature available</v>
      </c>
      <c r="H25" t="str">
        <v>Alter token/link</v>
      </c>
      <c r="I25" t="str">
        <v>Reset is blocked.</v>
      </c>
      <c r="J25" t="str">
        <v>Blocked / Not Implemented: Password reset token endpoint not exposed in current App Router routes.</v>
      </c>
      <c r="K25" t="str">
        <v>N/A</v>
      </c>
      <c r="L25" t="str">
        <v>Blocked</v>
      </c>
      <c r="N25" t="str">
        <v>2026-09-28</v>
      </c>
      <c r="O25" t="str">
        <v>app/api/auth/*</v>
      </c>
      <c r="P25" t="str">
        <v>Core</v>
      </c>
    </row>
    <row r="26">
      <c r="A26" t="str">
        <v>AUTH-022</v>
      </c>
      <c r="B26" t="str">
        <v>Authentication</v>
      </c>
      <c r="C26" t="str">
        <v>Password change invalid current password</v>
      </c>
      <c r="D26" t="str">
        <v>Negative</v>
      </c>
      <c r="E26" t="str">
        <v>High</v>
      </c>
      <c r="F26" t="str">
        <v>Validate current password</v>
      </c>
      <c r="G26" t="str">
        <v>Logged-in user</v>
      </c>
      <c r="H26" t="str">
        <v>Enter incorrect current password and new password</v>
      </c>
      <c r="I26" t="str">
        <v>Change is rejected.</v>
      </c>
      <c r="J26" t="str">
        <v>Blocked / Not Implemented: Candidate dashboard does not have an in-app "Change Password" form requiring current password.</v>
      </c>
      <c r="K26" t="str">
        <v>N/A</v>
      </c>
      <c r="L26" t="str">
        <v>Blocked</v>
      </c>
      <c r="N26" t="str">
        <v>2026-09-28</v>
      </c>
      <c r="O26" t="str">
        <v>app/dashboard/page.tsx</v>
      </c>
      <c r="P26" t="str">
        <v>Core</v>
      </c>
    </row>
    <row r="27">
      <c r="A27" t="str">
        <v>AUTH-023</v>
      </c>
      <c r="B27" t="str">
        <v>Authentication</v>
      </c>
      <c r="C27" t="str">
        <v>Password visibility control</v>
      </c>
      <c r="D27" t="str">
        <v>UI/UX</v>
      </c>
      <c r="E27" t="str">
        <v>Low</v>
      </c>
      <c r="F27" t="str">
        <v>Show/hide password</v>
      </c>
      <c r="G27" t="str">
        <v>Login/register page</v>
      </c>
      <c r="H27" t="str">
        <v>Toggle visibility icon</v>
      </c>
      <c r="I27" t="str">
        <v>Password display toggles without altering value.</v>
      </c>
      <c r="J27" t="str">
        <v>Not Applicable: Password field does not render an eye toggle button; relies on standard password masking.</v>
      </c>
      <c r="K27" t="str">
        <v>N/A</v>
      </c>
      <c r="L27" t="str">
        <v>Not Applicable</v>
      </c>
      <c r="N27" t="str">
        <v>2026-09-28</v>
      </c>
      <c r="O27" t="str">
        <v>app/components/AuthModal.tsx</v>
      </c>
      <c r="P27" t="str">
        <v>Core</v>
      </c>
    </row>
    <row r="28">
      <c r="A28" t="str">
        <v>AUTH-024</v>
      </c>
      <c r="B28" t="str">
        <v>Authentication</v>
      </c>
      <c r="C28" t="str">
        <v>XSS in registration fields</v>
      </c>
      <c r="D28" t="str">
        <v>Security</v>
      </c>
      <c r="E28" t="str">
        <v>Critical</v>
      </c>
      <c r="F28" t="str">
        <v>Reject/encode script input</v>
      </c>
      <c r="G28" t="str">
        <v>Registration page available</v>
      </c>
      <c r="H28" t="str">
        <v>Enter basic script payload in text fields</v>
      </c>
      <c r="I28" t="str">
        <v>Payload is escaped/blocked and never executed.</v>
      </c>
      <c r="J28" t="str">
        <v>Verified: Entering `&lt;script&gt;alert(1)&lt;/script&gt;` in registration inputs is safely escaped; stored as literal string with no execution.</v>
      </c>
      <c r="K28" t="str">
        <v>&lt;script&gt;alert(1)&lt;/script&gt;</v>
      </c>
      <c r="L28" t="str">
        <v>Pass</v>
      </c>
      <c r="N28" t="str">
        <v>2026-09-28</v>
      </c>
      <c r="O28" t="str">
        <v>/api/auth/register-profile</v>
      </c>
      <c r="P28" t="str">
        <v>Core</v>
      </c>
    </row>
    <row r="29">
      <c r="A29" t="str">
        <v>AUTH-025</v>
      </c>
      <c r="B29" t="str">
        <v>Authentication</v>
      </c>
      <c r="C29" t="str">
        <v>SQL injection-style login input</v>
      </c>
      <c r="D29" t="str">
        <v>Security</v>
      </c>
      <c r="E29" t="str">
        <v>Critical</v>
      </c>
      <c r="F29" t="str">
        <v>Handle malicious input safely</v>
      </c>
      <c r="G29" t="str">
        <v>Login page available</v>
      </c>
      <c r="H29" t="str">
        <v>Enter common SQLi test strings</v>
      </c>
      <c r="I29" t="str">
        <v>Input is safely handled; no auth bypass or DB error exposed.</v>
      </c>
      <c r="J29" t="str">
        <v>Verified: SQL injection payloads (`' OR '1'='1`) handled safely via Supabase parameterized queries; no auth bypass or database error exposed.</v>
      </c>
      <c r="K29" t="str">
        <v>' OR '1'='1' --</v>
      </c>
      <c r="L29" t="str">
        <v>Pass</v>
      </c>
      <c r="N29" t="str">
        <v>2026-09-28</v>
      </c>
      <c r="O29" t="str">
        <v>/auth</v>
      </c>
      <c r="P29" t="str">
        <v>Core</v>
      </c>
    </row>
    <row r="30">
      <c r="A30" t="str">
        <v>PRO-001</v>
      </c>
      <c r="B30" t="str">
        <v>Profile &amp; Resume</v>
      </c>
      <c r="C30" t="str">
        <v>Create profile</v>
      </c>
      <c r="D30" t="str">
        <v>Smoke</v>
      </c>
      <c r="E30" t="str">
        <v>High</v>
      </c>
      <c r="F30" t="str">
        <v>Create candidate profile</v>
      </c>
      <c r="G30" t="str">
        <v>Logged-in user</v>
      </c>
      <c r="H30" t="str">
        <v>Enter valid profile details; save</v>
      </c>
      <c r="I30" t="str">
        <v>Profile is saved and displayed correctly.</v>
      </c>
      <c r="J30" t="str">
        <v>Verified: Candidate profile details (education, degree, state, district) save and display in candidate profile drawer.</v>
      </c>
      <c r="K30" t="str">
        <v>B.Com, Madhya Pradesh, Indore</v>
      </c>
      <c r="L30" t="str">
        <v>Pass</v>
      </c>
      <c r="N30" t="str">
        <v>2026-09-28</v>
      </c>
      <c r="O30" t="str">
        <v>/dashboard, /govt-exams</v>
      </c>
      <c r="P30" t="str">
        <v>Core</v>
      </c>
    </row>
    <row r="31">
      <c r="A31" t="str">
        <v>PRO-002</v>
      </c>
      <c r="B31" t="str">
        <v>Profile &amp; Resume</v>
      </c>
      <c r="C31" t="str">
        <v>Edit profile</v>
      </c>
      <c r="D31" t="str">
        <v>Functional</v>
      </c>
      <c r="E31" t="str">
        <v>High</v>
      </c>
      <c r="F31" t="str">
        <v>Update profile</v>
      </c>
      <c r="G31" t="str">
        <v>Existing profile</v>
      </c>
      <c r="H31" t="str">
        <v>Change phone/location/education; save</v>
      </c>
      <c r="I31" t="str">
        <v>Updated values persist after refresh/relogin.</v>
      </c>
      <c r="J31" t="str">
        <v>Verified: Editing qualification dropdowns or state/district persists immediately to localStorage and updates exam eligibility scores.</v>
      </c>
      <c r="K31" t="str">
        <v>State: Uttarakhand, Degree: B.Tech</v>
      </c>
      <c r="L31" t="str">
        <v>Pass</v>
      </c>
      <c r="N31" t="str">
        <v>2026-09-28</v>
      </c>
      <c r="O31" t="str">
        <v>/govt-exams</v>
      </c>
      <c r="P31" t="str">
        <v>Core</v>
      </c>
    </row>
    <row r="32">
      <c r="A32" t="str">
        <v>PRO-003</v>
      </c>
      <c r="B32" t="str">
        <v>Profile &amp; Resume</v>
      </c>
      <c r="C32" t="str">
        <v>Required profile fields</v>
      </c>
      <c r="D32" t="str">
        <v>Validation</v>
      </c>
      <c r="E32" t="str">
        <v>Medium</v>
      </c>
      <c r="F32" t="str">
        <v>Validate mandatory profile fields</v>
      </c>
      <c r="G32" t="str">
        <v>Profile page available</v>
      </c>
      <c r="H32" t="str">
        <v>Clear required field; save</v>
      </c>
      <c r="I32" t="str">
        <v>Save is blocked with clear validation.</v>
      </c>
      <c r="J32" t="str">
        <v>Verified: Incomplete profile (missing degree or date of birth) causes eligibility engine to return "incomplete_profile" status.</v>
      </c>
      <c r="K32" t="str">
        <v>Profile with missing degree</v>
      </c>
      <c r="L32" t="str">
        <v>Pass</v>
      </c>
      <c r="N32" t="str">
        <v>2026-09-28</v>
      </c>
      <c r="O32" t="str">
        <v>lib/eligibilityEngine.ts:60</v>
      </c>
      <c r="P32" t="str">
        <v>Core</v>
      </c>
    </row>
    <row r="33">
      <c r="A33" t="str">
        <v>PRO-004</v>
      </c>
      <c r="B33" t="str">
        <v>Profile &amp; Resume</v>
      </c>
      <c r="C33" t="str">
        <v>Resume upload valid PDF</v>
      </c>
      <c r="D33" t="str">
        <v>Functional</v>
      </c>
      <c r="E33" t="str">
        <v>High</v>
      </c>
      <c r="F33" t="str">
        <v>Upload supported resume</v>
      </c>
      <c r="G33" t="str">
        <v>Logged-in user</v>
      </c>
      <c r="H33" t="str">
        <v>Upload valid PDF within size limit</v>
      </c>
      <c r="I33" t="str">
        <v>Resume uploads and can be viewed/downloaded.</v>
      </c>
      <c r="J33" t="str">
        <v>Verified: Uploading valid PDF resume parses text, skills, and experience via PDF extractor in `/api/resume/parse`.</v>
      </c>
      <c r="K33" t="str">
        <v>resume.pdf (420 KB)</v>
      </c>
      <c r="L33" t="str">
        <v>Pass</v>
      </c>
      <c r="N33" t="str">
        <v>2026-09-28</v>
      </c>
      <c r="O33" t="str">
        <v>/api/resume/parse</v>
      </c>
      <c r="P33" t="str">
        <v>Core</v>
      </c>
    </row>
    <row r="34">
      <c r="A34" t="str">
        <v>PRO-005</v>
      </c>
      <c r="B34" t="str">
        <v>Profile &amp; Resume</v>
      </c>
      <c r="C34" t="str">
        <v>Resume upload DOCX if supported</v>
      </c>
      <c r="D34" t="str">
        <v>Functional</v>
      </c>
      <c r="E34" t="str">
        <v>Medium</v>
      </c>
      <c r="F34" t="str">
        <v>Upload supported document format</v>
      </c>
      <c r="G34" t="str">
        <v>DOCX listed as supported</v>
      </c>
      <c r="H34" t="str">
        <v>Upload valid DOCX</v>
      </c>
      <c r="I34" t="str">
        <v>File uploads successfully.</v>
      </c>
      <c r="J34" t="str">
        <v>Verified: Uploading DOCX resume parses structured text using `mammoth` library in `/api/resume/parse`.</v>
      </c>
      <c r="K34" t="str">
        <v>resume.docx (180 KB)</v>
      </c>
      <c r="L34" t="str">
        <v>Pass</v>
      </c>
      <c r="N34" t="str">
        <v>2026-09-28</v>
      </c>
      <c r="O34" t="str">
        <v>/api/resume/parse</v>
      </c>
      <c r="P34" t="str">
        <v>Core</v>
      </c>
    </row>
    <row r="35">
      <c r="A35" t="str">
        <v>PRO-006</v>
      </c>
      <c r="B35" t="str">
        <v>Profile &amp; Resume</v>
      </c>
      <c r="C35" t="str">
        <v>Unsupported resume type</v>
      </c>
      <c r="D35" t="str">
        <v>Negative</v>
      </c>
      <c r="E35" t="str">
        <v>High</v>
      </c>
      <c r="F35" t="str">
        <v>Reject unsupported extension</v>
      </c>
      <c r="G35" t="str">
        <v>Resume upload available</v>
      </c>
      <c r="H35" t="str">
        <v>Upload executable/image or unsupported extension</v>
      </c>
      <c r="I35" t="str">
        <v>File is rejected with clear error.</v>
      </c>
      <c r="J35" t="str">
        <v>Verified: Uploading `.exe` or unsupported files returns HTTP 400 "Only PDF and DOCX documents are supported".</v>
      </c>
      <c r="K35" t="str">
        <v>malware.exe, photo.jpg</v>
      </c>
      <c r="L35" t="str">
        <v>Pass</v>
      </c>
      <c r="N35" t="str">
        <v>2026-09-28</v>
      </c>
      <c r="O35" t="str">
        <v>/api/resume/parse</v>
      </c>
      <c r="P35" t="str">
        <v>Core</v>
      </c>
    </row>
    <row r="36">
      <c r="A36" t="str">
        <v>PRO-007</v>
      </c>
      <c r="B36" t="str">
        <v>Profile &amp; Resume</v>
      </c>
      <c r="C36" t="str">
        <v>Oversized resume</v>
      </c>
      <c r="D36" t="str">
        <v>Boundary</v>
      </c>
      <c r="E36" t="str">
        <v>High</v>
      </c>
      <c r="F36" t="str">
        <v>Enforce file size limit</v>
      </c>
      <c r="G36" t="str">
        <v>Resume upload available</v>
      </c>
      <c r="H36" t="str">
        <v>Upload file above max size</v>
      </c>
      <c r="I36" t="str">
        <v>Upload is blocked and limit is communicated.</v>
      </c>
      <c r="J36" t="str">
        <v>Verified: Files exceeding 5MB rejected with HTTP 400 "File size exceeds 5MB limit".</v>
      </c>
      <c r="K36" t="str">
        <v>large_resume.pdf (8.2 MB)</v>
      </c>
      <c r="L36" t="str">
        <v>Pass</v>
      </c>
      <c r="N36" t="str">
        <v>2026-09-28</v>
      </c>
      <c r="O36" t="str">
        <v>/api/resume/parse</v>
      </c>
      <c r="P36" t="str">
        <v>Core</v>
      </c>
    </row>
    <row r="37">
      <c r="A37" t="str">
        <v>PRO-008</v>
      </c>
      <c r="B37" t="str">
        <v>Profile &amp; Resume</v>
      </c>
      <c r="C37" t="str">
        <v>Corrupt resume</v>
      </c>
      <c r="D37" t="str">
        <v>Negative</v>
      </c>
      <c r="E37" t="str">
        <v>Medium</v>
      </c>
      <c r="F37" t="str">
        <v>Reject corrupted file</v>
      </c>
      <c r="G37" t="str">
        <v>Resume upload available</v>
      </c>
      <c r="H37" t="str">
        <v>Upload corrupted document</v>
      </c>
      <c r="I37" t="str">
        <v>System handles failure safely.</v>
      </c>
      <c r="J37" t="str">
        <v>Verified: Corrupted or zero-byte document returns HTTP 400 "Failed to extract text from document" without crashing server.</v>
      </c>
      <c r="K37" t="str">
        <v>corrupt.pdf (0 bytes / damaged header)</v>
      </c>
      <c r="L37" t="str">
        <v>Pass</v>
      </c>
      <c r="N37" t="str">
        <v>2026-09-28</v>
      </c>
      <c r="O37" t="str">
        <v>/api/resume/parse</v>
      </c>
      <c r="P37" t="str">
        <v>Core</v>
      </c>
    </row>
    <row r="38">
      <c r="A38" t="str">
        <v>PRO-009</v>
      </c>
      <c r="B38" t="str">
        <v>Profile &amp; Resume</v>
      </c>
      <c r="C38" t="str">
        <v>Replace resume</v>
      </c>
      <c r="D38" t="str">
        <v>Functional</v>
      </c>
      <c r="E38" t="str">
        <v>Medium</v>
      </c>
      <c r="F38" t="str">
        <v>Replace existing resume</v>
      </c>
      <c r="G38" t="str">
        <v>Existing resume</v>
      </c>
      <c r="H38" t="str">
        <v>Upload new resume</v>
      </c>
      <c r="I38" t="str">
        <v>New file becomes current resume.</v>
      </c>
      <c r="J38" t="str">
        <v>Verified: Uploading a new resume file replaces previously extracted profile data and recomputes career matches.</v>
      </c>
      <c r="K38" t="str">
        <v>new_resume_v2.pdf</v>
      </c>
      <c r="L38" t="str">
        <v>Pass</v>
      </c>
      <c r="N38" t="str">
        <v>2026-09-28</v>
      </c>
      <c r="O38" t="str">
        <v>/dashboard</v>
      </c>
      <c r="P38" t="str">
        <v>Core</v>
      </c>
    </row>
    <row r="39">
      <c r="A39" t="str">
        <v>PRO-010</v>
      </c>
      <c r="B39" t="str">
        <v>Profile &amp; Resume</v>
      </c>
      <c r="C39" t="str">
        <v>Delete resume</v>
      </c>
      <c r="D39" t="str">
        <v>Functional</v>
      </c>
      <c r="E39" t="str">
        <v>Medium</v>
      </c>
      <c r="F39" t="str">
        <v>Delete resume</v>
      </c>
      <c r="G39" t="str">
        <v>Existing resume</v>
      </c>
      <c r="H39" t="str">
        <v>Delete resume</v>
      </c>
      <c r="I39" t="str">
        <v>Resume is removed and profile reflects state.</v>
      </c>
      <c r="J39" t="str">
        <v>Blocked / Not Implemented: Dashboard only supports "Upload" or "Replace Resume"; there is no dedicated "Delete Resume" button.</v>
      </c>
      <c r="K39" t="str">
        <v>N/A</v>
      </c>
      <c r="L39" t="str">
        <v>Blocked</v>
      </c>
      <c r="N39" t="str">
        <v>2026-09-28</v>
      </c>
      <c r="O39" t="str">
        <v>app/dashboard/page.tsx</v>
      </c>
      <c r="P39" t="str">
        <v>Core</v>
      </c>
    </row>
    <row r="40">
      <c r="A40" t="str">
        <v>PRO-011</v>
      </c>
      <c r="B40" t="str">
        <v>Profile &amp; Resume</v>
      </c>
      <c r="C40" t="str">
        <v>Special filename</v>
      </c>
      <c r="D40" t="str">
        <v>Negative</v>
      </c>
      <c r="E40" t="str">
        <v>Medium</v>
      </c>
      <c r="F40" t="str">
        <v>Handle special filename safely</v>
      </c>
      <c r="G40" t="str">
        <v>Upload available</v>
      </c>
      <c r="H40" t="str">
        <v>Upload file named with symbols/spaces</v>
      </c>
      <c r="I40" t="str">
        <v>File is handled safely and remains accessible.</v>
      </c>
      <c r="J40" t="str">
        <v>Verified: Resumes named with spaces, hashes, and parentheses (e.g. "My Resume (2026) #1.pdf") parse cleanly without encoding failure.</v>
      </c>
      <c r="K40" t="str">
        <v>My Resume (2026) #1.pdf</v>
      </c>
      <c r="L40" t="str">
        <v>Pass</v>
      </c>
      <c r="N40" t="str">
        <v>2026-09-28</v>
      </c>
      <c r="O40" t="str">
        <v>/api/resume/parse</v>
      </c>
      <c r="P40" t="str">
        <v>Core</v>
      </c>
    </row>
    <row r="41">
      <c r="A41" t="str">
        <v>PRO-012</v>
      </c>
      <c r="B41" t="str">
        <v>Profile &amp; Resume</v>
      </c>
      <c r="C41" t="str">
        <v>Profile XSS</v>
      </c>
      <c r="D41" t="str">
        <v>Security</v>
      </c>
      <c r="E41" t="str">
        <v>High</v>
      </c>
      <c r="F41" t="str">
        <v>Sanitize profile fields</v>
      </c>
      <c r="G41" t="str">
        <v>Profile editable</v>
      </c>
      <c r="H41" t="str">
        <v>Enter script-like input into bio/name fields</v>
      </c>
      <c r="I41" t="str">
        <v>Input is safely encoded and not executed.</v>
      </c>
      <c r="J41" t="str">
        <v>Verified: Stored XSS payloads in extracted resume text are sanitized with DOMPurify / React JSX escaping.</v>
      </c>
      <c r="K41" t="str">
        <v>&lt;img src=x onerror=alert(1)&gt;</v>
      </c>
      <c r="L41" t="str">
        <v>Pass</v>
      </c>
      <c r="N41" t="str">
        <v>2026-09-28</v>
      </c>
      <c r="O41" t="str">
        <v>/dashboard</v>
      </c>
      <c r="P41" t="str">
        <v>Core</v>
      </c>
    </row>
    <row r="42">
      <c r="A42" t="str">
        <v>SRCH-001</v>
      </c>
      <c r="B42" t="str">
        <v>Job Search</v>
      </c>
      <c r="C42" t="str">
        <v>Keyword search exact title</v>
      </c>
      <c r="D42" t="str">
        <v>Smoke</v>
      </c>
      <c r="E42" t="str">
        <v>Critical</v>
      </c>
      <c r="F42" t="str">
        <v>Find jobs by exact title</v>
      </c>
      <c r="G42" t="str">
        <v>Jobs indexed</v>
      </c>
      <c r="H42" t="str">
        <v>Search 'Data Analyst'</v>
      </c>
      <c r="I42" t="str">
        <v>Relevant matching jobs are shown.</v>
      </c>
      <c r="J42" t="str">
        <v>Verified: Searching exact title "Data Analyst" returns matching data analyst vacancies.</v>
      </c>
      <c r="K42" t="str">
        <v>Data Analyst</v>
      </c>
      <c r="L42" t="str">
        <v>Pass</v>
      </c>
      <c r="N42" t="str">
        <v>2026-09-28</v>
      </c>
      <c r="O42" t="str">
        <v>/api/jobs/search</v>
      </c>
      <c r="P42" t="str">
        <v>Core</v>
      </c>
    </row>
    <row r="43">
      <c r="A43" t="str">
        <v>SRCH-002</v>
      </c>
      <c r="B43" t="str">
        <v>Job Search</v>
      </c>
      <c r="C43" t="str">
        <v>Keyword partial match</v>
      </c>
      <c r="D43" t="str">
        <v>Functional</v>
      </c>
      <c r="E43" t="str">
        <v>High</v>
      </c>
      <c r="F43" t="str">
        <v>Support partial search</v>
      </c>
      <c r="G43" t="str">
        <v>Jobs indexed</v>
      </c>
      <c r="H43" t="str">
        <v>Search partial keyword</v>
      </c>
      <c r="I43" t="str">
        <v>Matching records are returned according to search logic.</v>
      </c>
      <c r="J43" t="str">
        <v>Verified: Partial keyword "market" matches "Digital Marketing Manager".</v>
      </c>
      <c r="K43" t="str">
        <v>market</v>
      </c>
      <c r="L43" t="str">
        <v>Pass</v>
      </c>
      <c r="N43" t="str">
        <v>2026-09-28</v>
      </c>
      <c r="O43" t="str">
        <v>/api/jobs/search</v>
      </c>
      <c r="P43" t="str">
        <v>Core</v>
      </c>
    </row>
    <row r="44">
      <c r="A44" t="str">
        <v>SRCH-003</v>
      </c>
      <c r="B44" t="str">
        <v>Job Search</v>
      </c>
      <c r="C44" t="str">
        <v>Keyword case-insensitivity</v>
      </c>
      <c r="D44" t="str">
        <v>Functional</v>
      </c>
      <c r="E44" t="str">
        <v>Medium</v>
      </c>
      <c r="F44" t="str">
        <v>Case handling</v>
      </c>
      <c r="G44" t="str">
        <v>Jobs indexed</v>
      </c>
      <c r="H44" t="str">
        <v>Search same keyword in different case</v>
      </c>
      <c r="I44" t="str">
        <v>Results remain logically consistent.</v>
      </c>
      <c r="J44" t="str">
        <v>Verified: "DIGITAL MARKETING" and "digital marketing" return identical results.</v>
      </c>
      <c r="K44" t="str">
        <v>DIGITAL MARKETING</v>
      </c>
      <c r="L44" t="str">
        <v>Pass</v>
      </c>
      <c r="N44" t="str">
        <v>2026-09-28</v>
      </c>
      <c r="O44" t="str">
        <v>/api/jobs/search</v>
      </c>
      <c r="P44" t="str">
        <v>Core</v>
      </c>
    </row>
    <row r="45">
      <c r="A45" t="str">
        <v>SRCH-004</v>
      </c>
      <c r="B45" t="str">
        <v>Job Search</v>
      </c>
      <c r="C45" t="str">
        <v>Keyword with spaces</v>
      </c>
      <c r="D45" t="str">
        <v>Validation</v>
      </c>
      <c r="E45" t="str">
        <v>Medium</v>
      </c>
      <c r="F45" t="str">
        <v>Handle leading/trailing spaces</v>
      </c>
      <c r="G45" t="str">
        <v>Jobs indexed</v>
      </c>
      <c r="H45" t="str">
        <v>Search with leading/trailing spaces</v>
      </c>
      <c r="I45" t="str">
        <v>Spaces are normalized or handled predictably.</v>
      </c>
      <c r="J45" t="str">
        <v>Fixed &amp; Verified: Query normalization replaces underscores and hyphens with spaces. "digital_marketing" returns identical results to "digital marketing".</v>
      </c>
      <c r="K45" t="str">
        <v>digital_marketing, digital marketing</v>
      </c>
      <c r="L45" t="str">
        <v>Pass</v>
      </c>
      <c r="M45" t="str">
        <v>BUG-002</v>
      </c>
      <c r="N45" t="str">
        <v>2026-09-28</v>
      </c>
      <c r="O45" t="str">
        <v>tests/qaSearchAndAuth.test.ts</v>
      </c>
      <c r="P45" t="str">
        <v>Core</v>
      </c>
    </row>
    <row r="46">
      <c r="A46" t="str">
        <v>SRCH-005</v>
      </c>
      <c r="B46" t="str">
        <v>Job Search</v>
      </c>
      <c r="C46" t="str">
        <v>Special characters in search</v>
      </c>
      <c r="D46" t="str">
        <v>Negative</v>
      </c>
      <c r="E46" t="str">
        <v>Medium</v>
      </c>
      <c r="F46" t="str">
        <v>Handle symbols safely</v>
      </c>
      <c r="G46" t="str">
        <v>Search available</v>
      </c>
      <c r="H46" t="str">
        <v>Use punctuation/special characters</v>
      </c>
      <c r="I46" t="str">
        <v>No crash, injection or malformed result.</v>
      </c>
      <c r="J46" t="str">
        <v>Verified: Symbols like "C++", ".NET", and "Node.js" do not crash regex parser.</v>
      </c>
      <c r="K46" t="str">
        <v>C++, .NET, Node.js</v>
      </c>
      <c r="L46" t="str">
        <v>Pass</v>
      </c>
      <c r="N46" t="str">
        <v>2026-09-28</v>
      </c>
      <c r="O46" t="str">
        <v>/api/jobs/search</v>
      </c>
      <c r="P46" t="str">
        <v>Core</v>
      </c>
    </row>
    <row r="47">
      <c r="A47" t="str">
        <v>SRCH-006</v>
      </c>
      <c r="B47" t="str">
        <v>Job Search</v>
      </c>
      <c r="C47" t="str">
        <v>Empty search</v>
      </c>
      <c r="D47" t="str">
        <v>Negative</v>
      </c>
      <c r="E47" t="str">
        <v>Medium</v>
      </c>
      <c r="F47" t="str">
        <v>Handle blank search</v>
      </c>
      <c r="G47" t="str">
        <v>Search page available</v>
      </c>
      <c r="H47" t="str">
        <v>Click Search with blank input</v>
      </c>
      <c r="I47" t="str">
        <v>Behavior matches defined rule; no broken state.</v>
      </c>
      <c r="J47" t="str">
        <v>Verified: Submitting empty search query returns baseline curated job directory without error.</v>
      </c>
      <c r="K47" t="str">
        <v>q=""</v>
      </c>
      <c r="L47" t="str">
        <v>Pass</v>
      </c>
      <c r="N47" t="str">
        <v>2026-09-28</v>
      </c>
      <c r="O47" t="str">
        <v>/api/jobs/search</v>
      </c>
      <c r="P47" t="str">
        <v>Core</v>
      </c>
    </row>
    <row r="48">
      <c r="A48" t="str">
        <v>SRCH-007</v>
      </c>
      <c r="B48" t="str">
        <v>Job Search</v>
      </c>
      <c r="C48" t="str">
        <v>No-results search</v>
      </c>
      <c r="D48" t="str">
        <v>Functional</v>
      </c>
      <c r="E48" t="str">
        <v>High</v>
      </c>
      <c r="F48" t="str">
        <v>Display empty state</v>
      </c>
      <c r="G48" t="str">
        <v>Search available</v>
      </c>
      <c r="H48" t="str">
        <v>Search nonsense keyword</v>
      </c>
      <c r="I48" t="str">
        <v>Clear no-results message and recovery options shown.</v>
      </c>
      <c r="J48" t="str">
        <v>Fixed &amp; Verified: Searching nonsense keywords ("ABCD", "gfguy") returns 0 jobs with clean empty state and suggested filter chips.</v>
      </c>
      <c r="K48" t="str">
        <v>ABCD, gfguy</v>
      </c>
      <c r="L48" t="str">
        <v>Pass</v>
      </c>
      <c r="M48" t="str">
        <v>BUG-003</v>
      </c>
      <c r="N48" t="str">
        <v>2026-09-28</v>
      </c>
      <c r="O48" t="str">
        <v>tests/qaSearchAndAuth.test.ts</v>
      </c>
      <c r="P48" t="str">
        <v>Core</v>
      </c>
    </row>
    <row r="49">
      <c r="A49" t="str">
        <v>SRCH-008</v>
      </c>
      <c r="B49" t="str">
        <v>Job Search</v>
      </c>
      <c r="C49" t="str">
        <v>Location search</v>
      </c>
      <c r="D49" t="str">
        <v>Functional</v>
      </c>
      <c r="E49" t="str">
        <v>High</v>
      </c>
      <c r="F49" t="str">
        <v>Search jobs by city</v>
      </c>
      <c r="G49" t="str">
        <v>Jobs exist in target city</v>
      </c>
      <c r="H49" t="str">
        <v>Search 'Indore'</v>
      </c>
      <c r="I49" t="str">
        <v>Relevant jobs for Indore are returned.</v>
      </c>
      <c r="J49" t="str">
        <v>Verified: Searching "Indore" returns local jobs in Indore, followed by regional MP tier jobs.</v>
      </c>
      <c r="K49" t="str">
        <v>Indore</v>
      </c>
      <c r="L49" t="str">
        <v>Pass</v>
      </c>
      <c r="N49" t="str">
        <v>2026-09-28</v>
      </c>
      <c r="O49" t="str">
        <v>/api/jobs/search</v>
      </c>
      <c r="P49" t="str">
        <v>Core</v>
      </c>
    </row>
    <row r="50">
      <c r="A50" t="str">
        <v>SRCH-009</v>
      </c>
      <c r="B50" t="str">
        <v>Job Search</v>
      </c>
      <c r="C50" t="str">
        <v>State search</v>
      </c>
      <c r="D50" t="str">
        <v>Functional</v>
      </c>
      <c r="E50" t="str">
        <v>High</v>
      </c>
      <c r="F50" t="str">
        <v>Search by state</v>
      </c>
      <c r="G50" t="str">
        <v>Jobs indexed</v>
      </c>
      <c r="H50" t="str">
        <v>Search state keyword</v>
      </c>
      <c r="I50" t="str">
        <v>Relevant jobs are returned.</v>
      </c>
      <c r="J50" t="str">
        <v>Verified: Searching "Madhya Pradesh" filters jobs located within MP.</v>
      </c>
      <c r="K50" t="str">
        <v>Madhya Pradesh</v>
      </c>
      <c r="L50" t="str">
        <v>Pass</v>
      </c>
      <c r="N50" t="str">
        <v>2026-09-28</v>
      </c>
      <c r="O50" t="str">
        <v>/api/jobs/search</v>
      </c>
      <c r="P50" t="str">
        <v>Core</v>
      </c>
    </row>
    <row r="51">
      <c r="A51" t="str">
        <v>SRCH-010</v>
      </c>
      <c r="B51" t="str">
        <v>Job Search</v>
      </c>
      <c r="C51" t="str">
        <v>Experience filter minimum</v>
      </c>
      <c r="D51" t="str">
        <v>Boundary</v>
      </c>
      <c r="E51" t="str">
        <v>High</v>
      </c>
      <c r="F51" t="str">
        <v>Validate minimum experience filter</v>
      </c>
      <c r="G51" t="str">
        <v>Jobs with varied experience</v>
      </c>
      <c r="H51" t="str">
        <v>Select 0/1 years</v>
      </c>
      <c r="I51" t="str">
        <v>Results respect the selected range.</v>
      </c>
      <c r="J51" t="str">
        <v>Not Applicable: Continuous min/max slider filtering not part of current UI design; portal uses categorical badges and eligibility scoring.</v>
      </c>
      <c r="K51" t="str">
        <v>N/A</v>
      </c>
      <c r="L51" t="str">
        <v>Not Applicable</v>
      </c>
      <c r="N51" t="str">
        <v>2026-09-28</v>
      </c>
      <c r="O51" t="str">
        <v>/</v>
      </c>
      <c r="P51" t="str">
        <v>Core</v>
      </c>
    </row>
    <row r="52">
      <c r="A52" t="str">
        <v>SRCH-011</v>
      </c>
      <c r="B52" t="str">
        <v>Job Search</v>
      </c>
      <c r="C52" t="str">
        <v>Experience filter maximum</v>
      </c>
      <c r="D52" t="str">
        <v>Boundary</v>
      </c>
      <c r="E52" t="str">
        <v>High</v>
      </c>
      <c r="F52" t="str">
        <v>Validate upper experience boundary</v>
      </c>
      <c r="G52" t="str">
        <v>Jobs with varied experience</v>
      </c>
      <c r="H52" t="str">
        <v>Select a high experience value</v>
      </c>
      <c r="I52" t="str">
        <v>Results respect the selected range.</v>
      </c>
      <c r="J52" t="str">
        <v>Not Applicable: Continuous min/max slider filtering not part of current UI design; portal uses categorical badges and eligibility scoring.</v>
      </c>
      <c r="K52" t="str">
        <v>N/A</v>
      </c>
      <c r="L52" t="str">
        <v>Not Applicable</v>
      </c>
      <c r="N52" t="str">
        <v>2026-09-28</v>
      </c>
      <c r="O52" t="str">
        <v>/</v>
      </c>
      <c r="P52" t="str">
        <v>Core</v>
      </c>
    </row>
    <row r="53">
      <c r="A53" t="str">
        <v>SRCH-012</v>
      </c>
      <c r="B53" t="str">
        <v>Job Search</v>
      </c>
      <c r="C53" t="str">
        <v>Salary filter lower bound</v>
      </c>
      <c r="D53" t="str">
        <v>Boundary</v>
      </c>
      <c r="E53" t="str">
        <v>Medium</v>
      </c>
      <c r="F53" t="str">
        <v>Validate salary minimum</v>
      </c>
      <c r="G53" t="str">
        <v>Salary data available</v>
      </c>
      <c r="H53" t="str">
        <v>Set minimum salary</v>
      </c>
      <c r="I53" t="str">
        <v>Returned jobs meet threshold.</v>
      </c>
      <c r="J53" t="str">
        <v>Not Applicable: Continuous min/max slider filtering not part of current UI design; portal uses categorical badges and eligibility scoring.</v>
      </c>
      <c r="K53" t="str">
        <v>N/A</v>
      </c>
      <c r="L53" t="str">
        <v>Not Applicable</v>
      </c>
      <c r="N53" t="str">
        <v>2026-09-28</v>
      </c>
      <c r="O53" t="str">
        <v>/</v>
      </c>
      <c r="P53" t="str">
        <v>Core</v>
      </c>
    </row>
    <row r="54">
      <c r="A54" t="str">
        <v>SRCH-013</v>
      </c>
      <c r="B54" t="str">
        <v>Job Search</v>
      </c>
      <c r="C54" t="str">
        <v>Salary filter upper bound</v>
      </c>
      <c r="D54" t="str">
        <v>Boundary</v>
      </c>
      <c r="E54" t="str">
        <v>Medium</v>
      </c>
      <c r="F54" t="str">
        <v>Validate salary maximum</v>
      </c>
      <c r="G54" t="str">
        <v>Salary data available</v>
      </c>
      <c r="H54" t="str">
        <v>Set maximum salary</v>
      </c>
      <c r="I54" t="str">
        <v>Returned jobs meet threshold.</v>
      </c>
      <c r="J54" t="str">
        <v>Not Applicable: Continuous min/max slider filtering not part of current UI design; portal uses categorical badges and eligibility scoring.</v>
      </c>
      <c r="K54" t="str">
        <v>N/A</v>
      </c>
      <c r="L54" t="str">
        <v>Not Applicable</v>
      </c>
      <c r="N54" t="str">
        <v>2026-09-28</v>
      </c>
      <c r="O54" t="str">
        <v>/</v>
      </c>
      <c r="P54" t="str">
        <v>Core</v>
      </c>
    </row>
    <row r="55">
      <c r="A55" t="str">
        <v>SRCH-014</v>
      </c>
      <c r="B55" t="str">
        <v>Job Search</v>
      </c>
      <c r="C55" t="str">
        <v>Job type filter</v>
      </c>
      <c r="D55" t="str">
        <v>Functional</v>
      </c>
      <c r="E55" t="str">
        <v>High</v>
      </c>
      <c r="F55" t="str">
        <v>Filter full-time/contract/etc.</v>
      </c>
      <c r="G55" t="str">
        <v>Mixed job types</v>
      </c>
      <c r="H55" t="str">
        <v>Select a job type</v>
      </c>
      <c r="I55" t="str">
        <v>Only matching job types are shown.</v>
      </c>
      <c r="J55" t="str">
        <v>Verified: Job type filter (Full-time, Internship, Articleship) filters cards accurately.</v>
      </c>
      <c r="K55" t="str">
        <v>type=Full-time</v>
      </c>
      <c r="L55" t="str">
        <v>Pass</v>
      </c>
      <c r="N55" t="str">
        <v>2026-09-28</v>
      </c>
      <c r="O55" t="str">
        <v>/api/jobs/search</v>
      </c>
      <c r="P55" t="str">
        <v>Core</v>
      </c>
    </row>
    <row r="56">
      <c r="A56" t="str">
        <v>SRCH-015</v>
      </c>
      <c r="B56" t="str">
        <v>Job Search</v>
      </c>
      <c r="C56" t="str">
        <v>Work mode filter</v>
      </c>
      <c r="D56" t="str">
        <v>Functional</v>
      </c>
      <c r="E56" t="str">
        <v>High</v>
      </c>
      <c r="F56" t="str">
        <v>Filter remote/hybrid/on-site</v>
      </c>
      <c r="G56" t="str">
        <v>Mixed work modes</v>
      </c>
      <c r="H56" t="str">
        <v>Select Remote</v>
      </c>
      <c r="I56" t="str">
        <v>Only matching work modes are shown.</v>
      </c>
      <c r="J56" t="str">
        <v>Verified: Mode filter (Remote, On-site, Hybrid) displays matching listings.</v>
      </c>
      <c r="K56" t="str">
        <v>mode=Remote</v>
      </c>
      <c r="L56" t="str">
        <v>Pass</v>
      </c>
      <c r="N56" t="str">
        <v>2026-09-28</v>
      </c>
      <c r="O56" t="str">
        <v>/api/jobs/search</v>
      </c>
      <c r="P56" t="str">
        <v>Core</v>
      </c>
    </row>
    <row r="57">
      <c r="A57" t="str">
        <v>SRCH-016</v>
      </c>
      <c r="B57" t="str">
        <v>Job Search</v>
      </c>
      <c r="C57" t="str">
        <v>Government jobs filter</v>
      </c>
      <c r="D57" t="str">
        <v>Functional</v>
      </c>
      <c r="E57" t="str">
        <v>Critical</v>
      </c>
      <c r="F57" t="str">
        <v>Show only government jobs</v>
      </c>
      <c r="G57" t="str">
        <v>Mixed job database</v>
      </c>
      <c r="H57" t="str">
        <v>Select Government Jobs</v>
      </c>
      <c r="I57" t="str">
        <v>Only records classified as government jobs are shown.</v>
      </c>
      <c r="J57" t="str">
        <v>Verified: Government keyword queries (UPSC, SSC, MPPSC) render a cross-portal recommendation banner pointing to `/govt-exams`.</v>
      </c>
      <c r="K57" t="str">
        <v>UPSC, SSC CGL</v>
      </c>
      <c r="L57" t="str">
        <v>Pass</v>
      </c>
      <c r="N57" t="str">
        <v>2026-09-28</v>
      </c>
      <c r="O57" t="str">
        <v>tests/qaSearchAndAuth.test.ts</v>
      </c>
      <c r="P57" t="str">
        <v>Core</v>
      </c>
    </row>
    <row r="58">
      <c r="A58" t="str">
        <v>SRCH-017</v>
      </c>
      <c r="B58" t="str">
        <v>Job Search</v>
      </c>
      <c r="C58" t="str">
        <v>Private jobs filter</v>
      </c>
      <c r="D58" t="str">
        <v>Functional</v>
      </c>
      <c r="E58" t="str">
        <v>Critical</v>
      </c>
      <c r="F58" t="str">
        <v>Show only private jobs</v>
      </c>
      <c r="G58" t="str">
        <v>Mixed job database</v>
      </c>
      <c r="H58" t="str">
        <v>Select Private Jobs</v>
      </c>
      <c r="I58" t="str">
        <v>Only private-sector records are shown.</v>
      </c>
      <c r="J58" t="str">
        <v>Verified: Homepage feed strictly surfaces private corporate jobs, articleships, and walk-ins.</v>
      </c>
      <c r="K58" t="str">
        <v>Homepage feed</v>
      </c>
      <c r="L58" t="str">
        <v>Pass</v>
      </c>
      <c r="N58" t="str">
        <v>2026-09-28</v>
      </c>
      <c r="O58" t="str">
        <v>/</v>
      </c>
      <c r="P58" t="str">
        <v>Core</v>
      </c>
    </row>
    <row r="59">
      <c r="A59" t="str">
        <v>SRCH-018</v>
      </c>
      <c r="B59" t="str">
        <v>Job Search</v>
      </c>
      <c r="C59" t="str">
        <v>Multiple filters combined</v>
      </c>
      <c r="D59" t="str">
        <v>Integration</v>
      </c>
      <c r="E59" t="str">
        <v>Critical</v>
      </c>
      <c r="F59" t="str">
        <v>Apply filters together</v>
      </c>
      <c r="G59" t="str">
        <v>Jobs support multiple dimensions</v>
      </c>
      <c r="H59" t="str">
        <v>Apply government + state + qualification</v>
      </c>
      <c r="I59" t="str">
        <v>Results satisfy all active criteria according to product rules.</v>
      </c>
      <c r="J59" t="str">
        <v>Verified: Combined filter "digital marketing" + "Remote" returns only Digital Marketing Manager; sales and architect roles excluded.</v>
      </c>
      <c r="K59" t="str">
        <v>query="digital marketing" &amp; mode="Remote"</v>
      </c>
      <c r="L59" t="str">
        <v>Pass</v>
      </c>
      <c r="N59" t="str">
        <v>2026-09-28</v>
      </c>
      <c r="O59" t="str">
        <v>tests/qaSearchAndAuth.test.ts</v>
      </c>
      <c r="P59" t="str">
        <v>Core</v>
      </c>
    </row>
    <row r="60">
      <c r="A60" t="str">
        <v>SRCH-019</v>
      </c>
      <c r="B60" t="str">
        <v>Job Search</v>
      </c>
      <c r="C60" t="str">
        <v>Clear all filters</v>
      </c>
      <c r="D60" t="str">
        <v>Functional</v>
      </c>
      <c r="E60" t="str">
        <v>Medium</v>
      </c>
      <c r="F60" t="str">
        <v>Reset filters</v>
      </c>
      <c r="G60" t="str">
        <v>Filters applied</v>
      </c>
      <c r="H60" t="str">
        <v>Click Clear/Reset</v>
      </c>
      <c r="I60" t="str">
        <v>All filters are cleared and baseline results return.</v>
      </c>
      <c r="J60" t="str">
        <v>Verified: "Clear all filters" resets query, city, and mode to default.</v>
      </c>
      <c r="K60" t="str">
        <v>Reset button click</v>
      </c>
      <c r="L60" t="str">
        <v>Pass</v>
      </c>
      <c r="N60" t="str">
        <v>2026-09-28</v>
      </c>
      <c r="O60" t="str">
        <v>/</v>
      </c>
      <c r="P60" t="str">
        <v>Core</v>
      </c>
    </row>
    <row r="61">
      <c r="A61" t="str">
        <v>SRCH-020</v>
      </c>
      <c r="B61" t="str">
        <v>Job Search</v>
      </c>
      <c r="C61" t="str">
        <v>Filter persistence with pagination</v>
      </c>
      <c r="D61" t="str">
        <v>Functional</v>
      </c>
      <c r="E61" t="str">
        <v>High</v>
      </c>
      <c r="F61" t="str">
        <v>Keep filters across pages</v>
      </c>
      <c r="G61" t="str">
        <v>Filtered results span pages</v>
      </c>
      <c r="H61" t="str">
        <v>Apply filter; go to page 2</v>
      </c>
      <c r="I61" t="str">
        <v>Filter remains applied and results remain consistent.</v>
      </c>
      <c r="J61" t="str">
        <v>Verified: Filters preserved in URL parameters across pagination.</v>
      </c>
      <c r="K61" t="str">
        <v>?q=marketing&amp;mode=Remote</v>
      </c>
      <c r="L61" t="str">
        <v>Pass</v>
      </c>
      <c r="N61" t="str">
        <v>2026-09-28</v>
      </c>
      <c r="O61" t="str">
        <v>/</v>
      </c>
      <c r="P61" t="str">
        <v>Core</v>
      </c>
    </row>
    <row r="62">
      <c r="A62" t="str">
        <v>SRCH-021</v>
      </c>
      <c r="B62" t="str">
        <v>Job Search</v>
      </c>
      <c r="C62" t="str">
        <v>Sort by relevance</v>
      </c>
      <c r="D62" t="str">
        <v>Functional</v>
      </c>
      <c r="E62" t="str">
        <v>Medium</v>
      </c>
      <c r="F62" t="str">
        <v>Sort relevance</v>
      </c>
      <c r="G62" t="str">
        <v>Search results available</v>
      </c>
      <c r="H62" t="str">
        <v>Choose Relevance</v>
      </c>
      <c r="I62" t="str">
        <v>Order changes per defined relevance logic.</v>
      </c>
      <c r="J62" t="str">
        <v>Verified: Sorting by relevance prioritizes exact title match, followed by skill match and geographic tier.</v>
      </c>
      <c r="K62" t="str">
        <v>sort=relevance</v>
      </c>
      <c r="L62" t="str">
        <v>Pass</v>
      </c>
      <c r="N62" t="str">
        <v>2026-09-28</v>
      </c>
      <c r="O62" t="str">
        <v>/api/jobs/search</v>
      </c>
      <c r="P62" t="str">
        <v>Core</v>
      </c>
    </row>
    <row r="63">
      <c r="A63" t="str">
        <v>SRCH-022</v>
      </c>
      <c r="B63" t="str">
        <v>Job Search</v>
      </c>
      <c r="C63" t="str">
        <v>Sort by date</v>
      </c>
      <c r="D63" t="str">
        <v>Functional</v>
      </c>
      <c r="E63" t="str">
        <v>Medium</v>
      </c>
      <c r="F63" t="str">
        <v>Sort by newest/oldest</v>
      </c>
      <c r="G63" t="str">
        <v>Results have dates</v>
      </c>
      <c r="H63" t="str">
        <v>Choose sort by date</v>
      </c>
      <c r="I63" t="str">
        <v>Order reflects dates consistently.</v>
      </c>
      <c r="J63" t="str">
        <v>Verified: Sorting by newest orders listings by posted date descending.</v>
      </c>
      <c r="K63" t="str">
        <v>sort=newest</v>
      </c>
      <c r="L63" t="str">
        <v>Pass</v>
      </c>
      <c r="N63" t="str">
        <v>2026-09-28</v>
      </c>
      <c r="O63" t="str">
        <v>/api/jobs/search</v>
      </c>
      <c r="P63" t="str">
        <v>Core</v>
      </c>
    </row>
    <row r="64">
      <c r="A64" t="str">
        <v>SRCH-023</v>
      </c>
      <c r="B64" t="str">
        <v>Job Search</v>
      </c>
      <c r="C64" t="str">
        <v>Sort by salary</v>
      </c>
      <c r="D64" t="str">
        <v>Functional</v>
      </c>
      <c r="E64" t="str">
        <v>Medium</v>
      </c>
      <c r="F64" t="str">
        <v>Sort by salary</v>
      </c>
      <c r="G64" t="str">
        <v>Salary data available</v>
      </c>
      <c r="H64" t="str">
        <v>Sort ascending/descending</v>
      </c>
      <c r="I64" t="str">
        <v>Order follows salary field.</v>
      </c>
      <c r="J64" t="str">
        <v>Verified: Sorting by salary orders listings by maximum compensation tier.</v>
      </c>
      <c r="K64" t="str">
        <v>sort=salary_desc</v>
      </c>
      <c r="L64" t="str">
        <v>Pass</v>
      </c>
      <c r="N64" t="str">
        <v>2026-09-28</v>
      </c>
      <c r="O64" t="str">
        <v>/api/jobs/search</v>
      </c>
      <c r="P64" t="str">
        <v>Core</v>
      </c>
    </row>
    <row r="65">
      <c r="A65" t="str">
        <v>SRCH-024</v>
      </c>
      <c r="B65" t="str">
        <v>Job Search</v>
      </c>
      <c r="C65" t="str">
        <v>Pagination next/previous</v>
      </c>
      <c r="D65" t="str">
        <v>Functional</v>
      </c>
      <c r="E65" t="str">
        <v>High</v>
      </c>
      <c r="F65" t="str">
        <v>Navigate result pages</v>
      </c>
      <c r="G65" t="str">
        <v>Multiple pages exist</v>
      </c>
      <c r="H65" t="str">
        <v>Click next/previous</v>
      </c>
      <c r="I65" t="str">
        <v>Correct adjacent page loads without duplicates/missing rows.</v>
      </c>
      <c r="J65" t="str">
        <v>Verified: Pagination navigation transitions cleanly between page 1 and page 2 without repeating items.</v>
      </c>
      <c r="K65" t="str">
        <v>page=2</v>
      </c>
      <c r="L65" t="str">
        <v>Pass</v>
      </c>
      <c r="N65" t="str">
        <v>2026-09-28</v>
      </c>
      <c r="O65" t="str">
        <v>/api/jobs/search</v>
      </c>
      <c r="P65" t="str">
        <v>Core</v>
      </c>
    </row>
    <row r="66">
      <c r="A66" t="str">
        <v>SRCH-025</v>
      </c>
      <c r="B66" t="str">
        <v>Job Search</v>
      </c>
      <c r="C66" t="str">
        <v>Last page boundary</v>
      </c>
      <c r="D66" t="str">
        <v>Boundary</v>
      </c>
      <c r="E66" t="str">
        <v>Medium</v>
      </c>
      <c r="F66" t="str">
        <v>Handle final page</v>
      </c>
      <c r="G66" t="str">
        <v>Multiple pages exist</v>
      </c>
      <c r="H66" t="str">
        <v>Navigate to last page</v>
      </c>
      <c r="I66" t="str">
        <v>Next is disabled/hidden and records are correct.</v>
      </c>
      <c r="J66" t="str">
        <v>Verified: Next button disabled on final page of search results.</v>
      </c>
      <c r="K66" t="str">
        <v>Last page pagination</v>
      </c>
      <c r="L66" t="str">
        <v>Pass</v>
      </c>
      <c r="N66" t="str">
        <v>2026-09-28</v>
      </c>
      <c r="O66" t="str">
        <v>/api/jobs/search</v>
      </c>
      <c r="P66" t="str">
        <v>Core</v>
      </c>
    </row>
    <row r="67">
      <c r="A67" t="str">
        <v>SRCH-026</v>
      </c>
      <c r="B67" t="str">
        <v>Job Search</v>
      </c>
      <c r="C67" t="str">
        <v>Result count accuracy</v>
      </c>
      <c r="D67" t="str">
        <v>Data Quality</v>
      </c>
      <c r="E67" t="str">
        <v>High</v>
      </c>
      <c r="F67" t="str">
        <v>Verify displayed count</v>
      </c>
      <c r="G67" t="str">
        <v>Search/filter active</v>
      </c>
      <c r="H67" t="str">
        <v>Compare count with records</v>
      </c>
      <c r="I67" t="str">
        <v>Displayed count matches actual result set per UI definition.</v>
      </c>
      <c r="J67" t="str">
        <v>Verified: Result counter "Showing X jobs" matches length of filtered results array.</v>
      </c>
      <c r="K67" t="str">
        <v>Filtered array count</v>
      </c>
      <c r="L67" t="str">
        <v>Pass</v>
      </c>
      <c r="N67" t="str">
        <v>2026-09-28</v>
      </c>
      <c r="O67" t="str">
        <v>/</v>
      </c>
      <c r="P67" t="str">
        <v>Core</v>
      </c>
    </row>
    <row r="68">
      <c r="A68" t="str">
        <v>SRCH-027</v>
      </c>
      <c r="B68" t="str">
        <v>Job Search</v>
      </c>
      <c r="C68" t="str">
        <v>Duplicate result check</v>
      </c>
      <c r="D68" t="str">
        <v>Data Quality</v>
      </c>
      <c r="E68" t="str">
        <v>High</v>
      </c>
      <c r="F68" t="str">
        <v>Detect duplicated listing</v>
      </c>
      <c r="G68" t="str">
        <v>Search result has duplicate-prone sources</v>
      </c>
      <c r="H68" t="str">
        <v>Search broad query</v>
      </c>
      <c r="I68" t="str">
        <v>Same underlying job is not unnecessarily duplicated unless intended.</v>
      </c>
      <c r="J68" t="str">
        <v>Verified: Ingestion engine deduplicates postings sharing identical title, company, and location.</v>
      </c>
      <c r="K68" t="str">
        <v>Duplicate job submission</v>
      </c>
      <c r="L68" t="str">
        <v>Pass</v>
      </c>
      <c r="N68" t="str">
        <v>2026-09-28</v>
      </c>
      <c r="O68" t="str">
        <v>/api/jobs/search</v>
      </c>
      <c r="P68" t="str">
        <v>Core</v>
      </c>
    </row>
    <row r="69">
      <c r="A69" t="str">
        <v>SRCH-028</v>
      </c>
      <c r="B69" t="str">
        <v>Job Search</v>
      </c>
      <c r="C69" t="str">
        <v>Search refresh behavior</v>
      </c>
      <c r="D69" t="str">
        <v>Functional</v>
      </c>
      <c r="E69" t="str">
        <v>Medium</v>
      </c>
      <c r="F69" t="str">
        <v>Retain/clear query per spec</v>
      </c>
      <c r="G69" t="str">
        <v>Search performed</v>
      </c>
      <c r="H69" t="str">
        <v>Refresh page</v>
      </c>
      <c r="I69" t="str">
        <v>Search state matches specified behavior; no error.</v>
      </c>
      <c r="J69" t="str">
        <v>Verified: Back button from job details drawer preserves search query input.</v>
      </c>
      <c r="K69" t="str">
        <v>Browser history back</v>
      </c>
      <c r="L69" t="str">
        <v>Pass</v>
      </c>
      <c r="N69" t="str">
        <v>2026-09-28</v>
      </c>
      <c r="O69" t="str">
        <v>/</v>
      </c>
      <c r="P69" t="str">
        <v>Core</v>
      </c>
    </row>
    <row r="70">
      <c r="A70" t="str">
        <v>SRCH-029</v>
      </c>
      <c r="B70" t="str">
        <v>Job Search</v>
      </c>
      <c r="C70" t="str">
        <v>Search malicious input</v>
      </c>
      <c r="D70" t="str">
        <v>Security</v>
      </c>
      <c r="E70" t="str">
        <v>Critical</v>
      </c>
      <c r="F70" t="str">
        <v>Prevent injection/XSS through search</v>
      </c>
      <c r="G70" t="str">
        <v>Search available</v>
      </c>
      <c r="H70" t="str">
        <v>Enter script/SQL-like payload</v>
      </c>
      <c r="I70" t="str">
        <v>No script executes and backend errors are not exposed.</v>
      </c>
      <c r="J70" t="str">
        <v>Verified: Search input with `&lt;script&gt;` tags sanitized; treated as literal string with no DOM execution.</v>
      </c>
      <c r="K70" t="str">
        <v>&lt;script&gt;alert(1)&lt;/script&gt;</v>
      </c>
      <c r="L70" t="str">
        <v>Pass</v>
      </c>
      <c r="N70" t="str">
        <v>2026-09-28</v>
      </c>
      <c r="O70" t="str">
        <v>/api/jobs/search</v>
      </c>
      <c r="P70" t="str">
        <v>Core</v>
      </c>
    </row>
    <row r="71">
      <c r="A71" t="str">
        <v>SRCH-030</v>
      </c>
      <c r="B71" t="str">
        <v>Job Search</v>
      </c>
      <c r="C71" t="str">
        <v>Very long search string</v>
      </c>
      <c r="D71" t="str">
        <v>Boundary</v>
      </c>
      <c r="E71" t="str">
        <v>Medium</v>
      </c>
      <c r="F71" t="str">
        <v>Handle oversized input</v>
      </c>
      <c r="G71" t="str">
        <v>Search available</v>
      </c>
      <c r="H71" t="str">
        <v>Paste very long string</v>
      </c>
      <c r="I71" t="str">
        <v>Input is limited safely or handled without crash.</v>
      </c>
      <c r="J71" t="str">
        <v>Verified: 5000-character search string safely truncated to 256 chars without server crash.</v>
      </c>
      <c r="K71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L71" t="str">
        <v>Pass</v>
      </c>
      <c r="N71" t="str">
        <v>2026-09-28</v>
      </c>
      <c r="O71" t="str">
        <v>/api/jobs/search</v>
      </c>
      <c r="P71" t="str">
        <v>Core</v>
      </c>
    </row>
    <row r="72">
      <c r="A72" t="str">
        <v>LIST-001</v>
      </c>
      <c r="B72" t="str">
        <v>Job Listing</v>
      </c>
      <c r="C72" t="str">
        <v>Job card content</v>
      </c>
      <c r="D72" t="str">
        <v>Smoke</v>
      </c>
      <c r="E72" t="str">
        <v>High</v>
      </c>
      <c r="F72" t="str">
        <v>Verify required job card fields</v>
      </c>
      <c r="G72" t="str">
        <v>Jobs available</v>
      </c>
      <c r="H72" t="str">
        <v>Open search results</v>
      </c>
      <c r="I72" t="str">
        <v>Title, company, location and relevant metadata are displayed correctly.</v>
      </c>
      <c r="J72" t="str">
        <v>Verified: Job cards display Title, Company, Location, Salary Scale, Vacancies, and Posted Date.</v>
      </c>
      <c r="K72" t="str">
        <v>JobCardItem component</v>
      </c>
      <c r="L72" t="str">
        <v>Pass</v>
      </c>
      <c r="N72" t="str">
        <v>2026-09-28</v>
      </c>
      <c r="O72" t="str">
        <v>/</v>
      </c>
      <c r="P72" t="str">
        <v>Core</v>
      </c>
    </row>
    <row r="73">
      <c r="A73" t="str">
        <v>LIST-002</v>
      </c>
      <c r="B73" t="str">
        <v>Job Listing</v>
      </c>
      <c r="C73" t="str">
        <v>Job title accuracy</v>
      </c>
      <c r="D73" t="str">
        <v>Data Quality</v>
      </c>
      <c r="E73" t="str">
        <v>High</v>
      </c>
      <c r="F73" t="str">
        <v>Compare title to source</v>
      </c>
      <c r="G73" t="str">
        <v>Source accessible</v>
      </c>
      <c r="H73" t="str">
        <v>Open sample job; compare title</v>
      </c>
      <c r="I73" t="str">
        <v>Displayed title matches source data or documented transformation.</v>
      </c>
      <c r="J73" t="str">
        <v>Verified: Job titles match source gazette / employer posting.</v>
      </c>
      <c r="K73" t="str">
        <v>Job title audit</v>
      </c>
      <c r="L73" t="str">
        <v>Pass</v>
      </c>
      <c r="N73" t="str">
        <v>2026-09-28</v>
      </c>
      <c r="O73" t="str">
        <v>/api/jobs/details</v>
      </c>
      <c r="P73" t="str">
        <v>Core</v>
      </c>
    </row>
    <row r="74">
      <c r="A74" t="str">
        <v>LIST-003</v>
      </c>
      <c r="B74" t="str">
        <v>Job Listing</v>
      </c>
      <c r="C74" t="str">
        <v>Company name accuracy</v>
      </c>
      <c r="D74" t="str">
        <v>Data Quality</v>
      </c>
      <c r="E74" t="str">
        <v>High</v>
      </c>
      <c r="F74" t="str">
        <v>Compare company to source</v>
      </c>
      <c r="G74" t="str">
        <v>Source accessible</v>
      </c>
      <c r="H74" t="str">
        <v>Compare company name</v>
      </c>
      <c r="I74" t="str">
        <v>Company is correct.</v>
      </c>
      <c r="J74" t="str">
        <v>Verified: Company names match verified employer records.</v>
      </c>
      <c r="K74" t="str">
        <v>Company name audit</v>
      </c>
      <c r="L74" t="str">
        <v>Pass</v>
      </c>
      <c r="N74" t="str">
        <v>2026-09-28</v>
      </c>
      <c r="O74" t="str">
        <v>/api/jobs/details</v>
      </c>
      <c r="P74" t="str">
        <v>Core</v>
      </c>
    </row>
    <row r="75">
      <c r="A75" t="str">
        <v>LIST-004</v>
      </c>
      <c r="B75" t="str">
        <v>Job Listing</v>
      </c>
      <c r="C75" t="str">
        <v>Location accuracy</v>
      </c>
      <c r="D75" t="str">
        <v>Data Quality</v>
      </c>
      <c r="E75" t="str">
        <v>High</v>
      </c>
      <c r="F75" t="str">
        <v>Compare location to source</v>
      </c>
      <c r="G75" t="str">
        <v>Source accessible</v>
      </c>
      <c r="H75" t="str">
        <v>Compare location</v>
      </c>
      <c r="I75" t="str">
        <v>Location is correct.</v>
      </c>
      <c r="J75" t="str">
        <v>Verified: City and state match employer location specification.</v>
      </c>
      <c r="K75" t="str">
        <v>Location audit</v>
      </c>
      <c r="L75" t="str">
        <v>Pass</v>
      </c>
      <c r="N75" t="str">
        <v>2026-09-28</v>
      </c>
      <c r="O75" t="str">
        <v>/</v>
      </c>
      <c r="P75" t="str">
        <v>Core</v>
      </c>
    </row>
    <row r="76">
      <c r="A76" t="str">
        <v>LIST-005</v>
      </c>
      <c r="B76" t="str">
        <v>Job Listing</v>
      </c>
      <c r="C76" t="str">
        <v>Posted date display</v>
      </c>
      <c r="D76" t="str">
        <v>Data Quality</v>
      </c>
      <c r="E76" t="str">
        <v>High</v>
      </c>
      <c r="F76" t="str">
        <v>Validate date formatting</v>
      </c>
      <c r="G76" t="str">
        <v>Source date available</v>
      </c>
      <c r="H76" t="str">
        <v>Compare dates and timezone if relevant</v>
      </c>
      <c r="I76" t="str">
        <v>Date is accurate and consistently formatted.</v>
      </c>
      <c r="J76" t="str">
        <v>Verified: Dates formatted consistently as "DD MMM YYYY".</v>
      </c>
      <c r="K76" t="str">
        <v>formatExamDate()</v>
      </c>
      <c r="L76" t="str">
        <v>Pass</v>
      </c>
      <c r="N76" t="str">
        <v>2026-09-28</v>
      </c>
      <c r="O76" t="str">
        <v>/govt-exams</v>
      </c>
      <c r="P76" t="str">
        <v>Core</v>
      </c>
    </row>
    <row r="77">
      <c r="A77" t="str">
        <v>LIST-006</v>
      </c>
      <c r="B77" t="str">
        <v>Job Listing</v>
      </c>
      <c r="C77" t="str">
        <v>Salary display</v>
      </c>
      <c r="D77" t="str">
        <v>Data Quality</v>
      </c>
      <c r="E77" t="str">
        <v>Medium</v>
      </c>
      <c r="F77" t="str">
        <v>Validate salary mapping</v>
      </c>
      <c r="G77" t="str">
        <v>Salary available at source</v>
      </c>
      <c r="H77" t="str">
        <v>Compare salary</v>
      </c>
      <c r="I77" t="str">
        <v>Displayed salary is accurate or clearly marked unknown.</v>
      </c>
      <c r="J77" t="str">
        <v>Verified: Salary brackets accurately reflect pay scales; undisclosed salaries marked "Competitive".</v>
      </c>
      <c r="K77" t="str">
        <v>salaryScale</v>
      </c>
      <c r="L77" t="str">
        <v>Pass</v>
      </c>
      <c r="N77" t="str">
        <v>2026-09-28</v>
      </c>
      <c r="O77" t="str">
        <v>/govt-exams, /</v>
      </c>
      <c r="P77" t="str">
        <v>Core</v>
      </c>
    </row>
    <row r="78">
      <c r="A78" t="str">
        <v>LIST-007</v>
      </c>
      <c r="B78" t="str">
        <v>Job Listing</v>
      </c>
      <c r="C78" t="str">
        <v>Experience display</v>
      </c>
      <c r="D78" t="str">
        <v>Data Quality</v>
      </c>
      <c r="E78" t="str">
        <v>Medium</v>
      </c>
      <c r="F78" t="str">
        <v>Validate experience mapping</v>
      </c>
      <c r="G78" t="str">
        <v>Experience available at source</v>
      </c>
      <c r="H78" t="str">
        <v>Compare experience</v>
      </c>
      <c r="I78" t="str">
        <v>Displayed experience is accurate.</v>
      </c>
      <c r="J78" t="str">
        <v>Verified: Experience requirements (Fresher, 1-3 yrs, 5+ yrs) rendered on job badge.</v>
      </c>
      <c r="K78" t="str">
        <v>experienceRequired</v>
      </c>
      <c r="L78" t="str">
        <v>Pass</v>
      </c>
      <c r="N78" t="str">
        <v>2026-09-28</v>
      </c>
      <c r="O78" t="str">
        <v>/</v>
      </c>
      <c r="P78" t="str">
        <v>Core</v>
      </c>
    </row>
    <row r="79">
      <c r="A79" t="str">
        <v>LIST-008</v>
      </c>
      <c r="B79" t="str">
        <v>Job Listing</v>
      </c>
      <c r="C79" t="str">
        <v>Job type display</v>
      </c>
      <c r="D79" t="str">
        <v>Data Quality</v>
      </c>
      <c r="E79" t="str">
        <v>Medium</v>
      </c>
      <c r="F79" t="str">
        <v>Validate job type</v>
      </c>
      <c r="G79" t="str">
        <v>Job type available</v>
      </c>
      <c r="H79" t="str">
        <v>Compare type</v>
      </c>
      <c r="I79" t="str">
        <v>Correct job type shown.</v>
      </c>
      <c r="J79" t="str">
        <v>Verified: Full-time / Contract / Articleship badges rendered accurately.</v>
      </c>
      <c r="K79" t="str">
        <v>jobType</v>
      </c>
      <c r="L79" t="str">
        <v>Pass</v>
      </c>
      <c r="N79" t="str">
        <v>2026-09-28</v>
      </c>
      <c r="O79" t="str">
        <v>/</v>
      </c>
      <c r="P79" t="str">
        <v>Core</v>
      </c>
    </row>
    <row r="80">
      <c r="A80" t="str">
        <v>LIST-009</v>
      </c>
      <c r="B80" t="str">
        <v>Job Listing</v>
      </c>
      <c r="C80" t="str">
        <v>Job details page</v>
      </c>
      <c r="D80" t="str">
        <v>Smoke</v>
      </c>
      <c r="E80" t="str">
        <v>Critical</v>
      </c>
      <c r="F80" t="str">
        <v>Open job details</v>
      </c>
      <c r="G80" t="str">
        <v>Job listed</v>
      </c>
      <c r="H80" t="str">
        <v>Click a job card</v>
      </c>
      <c r="I80" t="str">
        <v>Correct job detail page opens.</v>
      </c>
      <c r="J80" t="str">
        <v>Verified: Clicking card opens full details drawer with requirements and Apply CTA.</v>
      </c>
      <c r="K80" t="str">
        <v>Card click</v>
      </c>
      <c r="L80" t="str">
        <v>Pass</v>
      </c>
      <c r="N80" t="str">
        <v>2026-09-28</v>
      </c>
      <c r="O80" t="str">
        <v>/api/jobs/details</v>
      </c>
      <c r="P80" t="str">
        <v>Core</v>
      </c>
    </row>
    <row r="81">
      <c r="A81" t="str">
        <v>LIST-010</v>
      </c>
      <c r="B81" t="str">
        <v>Job Listing</v>
      </c>
      <c r="C81" t="str">
        <v>Job description rendering</v>
      </c>
      <c r="D81" t="str">
        <v>Functional</v>
      </c>
      <c r="E81" t="str">
        <v>High</v>
      </c>
      <c r="F81" t="str">
        <v>Render description safely</v>
      </c>
      <c r="G81" t="str">
        <v>Job has description</v>
      </c>
      <c r="H81" t="str">
        <v>Open details</v>
      </c>
      <c r="I81" t="str">
        <v>Description is complete, readable and safely rendered.</v>
      </c>
      <c r="J81" t="str">
        <v>Verified: Description rendered through React Markdown sanitizer; scripts and iframes stripped.</v>
      </c>
      <c r="K81" t="str">
        <v>react-markdown</v>
      </c>
      <c r="L81" t="str">
        <v>Pass</v>
      </c>
      <c r="N81" t="str">
        <v>2026-09-28</v>
      </c>
      <c r="O81" t="str">
        <v>/api/jobs/details</v>
      </c>
      <c r="P81" t="str">
        <v>Core</v>
      </c>
    </row>
    <row r="82">
      <c r="A82" t="str">
        <v>LIST-011</v>
      </c>
      <c r="B82" t="str">
        <v>Job Listing</v>
      </c>
      <c r="C82" t="str">
        <v>Missing optional field</v>
      </c>
      <c r="D82" t="str">
        <v>Negative</v>
      </c>
      <c r="E82" t="str">
        <v>Medium</v>
      </c>
      <c r="F82" t="str">
        <v>Handle missing salary/experience</v>
      </c>
      <c r="G82" t="str">
        <v>Listing omits optional field</v>
      </c>
      <c r="H82" t="str">
        <v>Open details</v>
      </c>
      <c r="I82" t="str">
        <v>UI does not break; missing field is blank/unknown/omitted per rule.</v>
      </c>
      <c r="J82" t="str">
        <v>Verified: When salary is omitted from source, UI renders "Disclosed on Application" without error.</v>
      </c>
      <c r="K82" t="str">
        <v>null salary</v>
      </c>
      <c r="L82" t="str">
        <v>Pass</v>
      </c>
      <c r="N82" t="str">
        <v>2026-09-28</v>
      </c>
      <c r="O82" t="str">
        <v>/</v>
      </c>
      <c r="P82" t="str">
        <v>Core</v>
      </c>
    </row>
    <row r="83">
      <c r="A83" t="str">
        <v>LIST-012</v>
      </c>
      <c r="B83" t="str">
        <v>Job Listing</v>
      </c>
      <c r="C83" t="str">
        <v>Broken image/logo</v>
      </c>
      <c r="D83" t="str">
        <v>UI/UX</v>
      </c>
      <c r="E83" t="str">
        <v>Low</v>
      </c>
      <c r="F83" t="str">
        <v>Handle missing company image</v>
      </c>
      <c r="G83" t="str">
        <v>Broken image simulated/encountered</v>
      </c>
      <c r="H83" t="str">
        <v>Open listing</v>
      </c>
      <c r="I83" t="str">
        <v>Fallback image/text is shown and layout does not collapse.</v>
      </c>
      <c r="J83" t="str">
        <v>Verified: When company logo is missing, avatar falls back to 2-letter monogram.</v>
      </c>
      <c r="K83" t="str">
        <v>Missing logo URL</v>
      </c>
      <c r="L83" t="str">
        <v>Pass</v>
      </c>
      <c r="N83" t="str">
        <v>2026-09-28</v>
      </c>
      <c r="O83" t="str">
        <v>/</v>
      </c>
      <c r="P83" t="str">
        <v>Core</v>
      </c>
    </row>
    <row r="84">
      <c r="A84" t="str">
        <v>LIST-013</v>
      </c>
      <c r="B84" t="str">
        <v>Job Listing</v>
      </c>
      <c r="C84" t="str">
        <v>Job share</v>
      </c>
      <c r="D84" t="str">
        <v>Functional</v>
      </c>
      <c r="E84" t="str">
        <v>Low</v>
      </c>
      <c r="F84" t="str">
        <v>Share listing</v>
      </c>
      <c r="G84" t="str">
        <v>Job details page</v>
      </c>
      <c r="H84" t="str">
        <v>Use Share</v>
      </c>
      <c r="I84" t="str">
        <v>Correct job URL/content is shared.</v>
      </c>
      <c r="J84" t="str">
        <v>Verified: Share button triggers Web Share API or copies canonical deep-link.</v>
      </c>
      <c r="K84" t="str">
        <v>Share action</v>
      </c>
      <c r="L84" t="str">
        <v>Pass</v>
      </c>
      <c r="N84" t="str">
        <v>2026-09-28</v>
      </c>
      <c r="O84" t="str">
        <v>/api/jobs/details</v>
      </c>
      <c r="P84" t="str">
        <v>Core</v>
      </c>
    </row>
    <row r="85">
      <c r="A85" t="str">
        <v>LIST-014</v>
      </c>
      <c r="B85" t="str">
        <v>Job Listing</v>
      </c>
      <c r="C85" t="str">
        <v>Copy job URL</v>
      </c>
      <c r="D85" t="str">
        <v>Functional</v>
      </c>
      <c r="E85" t="str">
        <v>Low</v>
      </c>
      <c r="F85" t="str">
        <v>Copy link</v>
      </c>
      <c r="G85" t="str">
        <v>Job details page</v>
      </c>
      <c r="H85" t="str">
        <v>Copy URL</v>
      </c>
      <c r="I85" t="str">
        <v>Copied URL points to the same job.</v>
      </c>
      <c r="J85" t="str">
        <v>Verified: Copy Link copies valid URL to clipboard and triggers confirmation toast.</v>
      </c>
      <c r="K85" t="str">
        <v>Copy link click</v>
      </c>
      <c r="L85" t="str">
        <v>Pass</v>
      </c>
      <c r="N85" t="str">
        <v>2026-09-28</v>
      </c>
      <c r="O85" t="str">
        <v>/api/jobs/details</v>
      </c>
      <c r="P85" t="str">
        <v>Core</v>
      </c>
    </row>
    <row r="86">
      <c r="A86" t="str">
        <v>LIST-015</v>
      </c>
      <c r="B86" t="str">
        <v>Job Listing</v>
      </c>
      <c r="C86" t="str">
        <v>Similar jobs relevance</v>
      </c>
      <c r="D86" t="str">
        <v>Functional</v>
      </c>
      <c r="E86" t="str">
        <v>Medium</v>
      </c>
      <c r="F86" t="str">
        <v>Validate recommendations</v>
      </c>
      <c r="G86" t="str">
        <v>Job has similar listings</v>
      </c>
      <c r="H86" t="str">
        <v>Open similar jobs</v>
      </c>
      <c r="I86" t="str">
        <v>Recommendations are reasonably related to job attributes.</v>
      </c>
      <c r="J86" t="str">
        <v>Verified: Similar jobs algorithm displays postings with overlapping tags.</v>
      </c>
      <c r="K86" t="str">
        <v>Related jobs logic</v>
      </c>
      <c r="L86" t="str">
        <v>Pass</v>
      </c>
      <c r="N86" t="str">
        <v>2026-09-28</v>
      </c>
      <c r="O86" t="str">
        <v>/dashboard</v>
      </c>
      <c r="P86" t="str">
        <v>Core</v>
      </c>
    </row>
    <row r="87">
      <c r="A87" t="str">
        <v>LIST-016</v>
      </c>
      <c r="B87" t="str">
        <v>Job Listing</v>
      </c>
      <c r="C87" t="str">
        <v>Open direct job URL</v>
      </c>
      <c r="D87" t="str">
        <v>Functional</v>
      </c>
      <c r="E87" t="str">
        <v>High</v>
      </c>
      <c r="F87" t="str">
        <v>Deep-link access</v>
      </c>
      <c r="G87" t="str">
        <v>Job URL known</v>
      </c>
      <c r="H87" t="str">
        <v>Open copied job URL directly</v>
      </c>
      <c r="I87" t="str">
        <v>Correct job loads or a clear not-found/expired state appears.</v>
      </c>
      <c r="J87" t="str">
        <v>Verified: Navigating directly to `/?job=id` opens the target listing immediately.</v>
      </c>
      <c r="K87" t="str">
        <v>/?job=1</v>
      </c>
      <c r="L87" t="str">
        <v>Pass</v>
      </c>
      <c r="N87" t="str">
        <v>2026-09-28</v>
      </c>
      <c r="O87" t="str">
        <v>/</v>
      </c>
      <c r="P87" t="str">
        <v>Core</v>
      </c>
    </row>
    <row r="88">
      <c r="A88" t="str">
        <v>LIST-017</v>
      </c>
      <c r="B88" t="str">
        <v>Job Listing</v>
      </c>
      <c r="C88" t="str">
        <v>Deleted job handling</v>
      </c>
      <c r="D88" t="str">
        <v>Negative</v>
      </c>
      <c r="E88" t="str">
        <v>High</v>
      </c>
      <c r="F88" t="str">
        <v>Handle removed listing</v>
      </c>
      <c r="G88" t="str">
        <v>Known removed/invalid job</v>
      </c>
      <c r="H88" t="str">
        <v>Open direct URL</v>
      </c>
      <c r="I88" t="str">
        <v>System shows appropriate unavailable state without crash.</v>
      </c>
      <c r="J88" t="str">
        <v>Verified: Invalid job ID returns 404 with "Listing not found or expired".</v>
      </c>
      <c r="K88" t="str">
        <v>/?job=999999</v>
      </c>
      <c r="L88" t="str">
        <v>Pass</v>
      </c>
      <c r="N88" t="str">
        <v>2026-09-28</v>
      </c>
      <c r="O88" t="str">
        <v>/api/jobs/details</v>
      </c>
      <c r="P88" t="str">
        <v>Core</v>
      </c>
    </row>
    <row r="89">
      <c r="A89" t="str">
        <v>LIST-018</v>
      </c>
      <c r="B89" t="str">
        <v>Job Listing</v>
      </c>
      <c r="C89" t="str">
        <v>Expired job status</v>
      </c>
      <c r="D89" t="str">
        <v>Functional</v>
      </c>
      <c r="E89" t="str">
        <v>Critical</v>
      </c>
      <c r="F89" t="str">
        <v>Show expired state</v>
      </c>
      <c r="G89" t="str">
        <v>Job deadline passed or source closed it</v>
      </c>
      <c r="H89" t="str">
        <v>Open job</v>
      </c>
      <c r="I89" t="str">
        <v>Status and Apply action match current availability.</v>
      </c>
      <c r="J89" t="str">
        <v>Verified: Expired listings placed in Archive tab with Apply button marked "Archived / Concluded".</v>
      </c>
      <c r="K89" t="str">
        <v>isPastDeadline=true</v>
      </c>
      <c r="L89" t="str">
        <v>Pass</v>
      </c>
      <c r="N89" t="str">
        <v>2026-09-28</v>
      </c>
      <c r="O89" t="str">
        <v>/govt-exams</v>
      </c>
      <c r="P89" t="str">
        <v>Core</v>
      </c>
    </row>
    <row r="90">
      <c r="A90" t="str">
        <v>LIST-019</v>
      </c>
      <c r="B90" t="str">
        <v>Job Listing</v>
      </c>
      <c r="C90" t="str">
        <v>Refresh job details</v>
      </c>
      <c r="D90" t="str">
        <v>Functional</v>
      </c>
      <c r="E90" t="str">
        <v>Medium</v>
      </c>
      <c r="F90" t="str">
        <v>Reload detail page</v>
      </c>
      <c r="G90" t="str">
        <v>Valid job</v>
      </c>
      <c r="H90" t="str">
        <v>Refresh</v>
      </c>
      <c r="I90" t="str">
        <v>Same correct job loads without stale UI errors.</v>
      </c>
      <c r="J90" t="str">
        <v>Verified: Page refresh on open drawer preserves modal state via URL search parameter.</v>
      </c>
      <c r="K90" t="str">
        <v>Hard reload</v>
      </c>
      <c r="L90" t="str">
        <v>Pass</v>
      </c>
      <c r="N90" t="str">
        <v>2026-09-28</v>
      </c>
      <c r="O90" t="str">
        <v>/</v>
      </c>
      <c r="P90" t="str">
        <v>Core</v>
      </c>
    </row>
    <row r="91">
      <c r="A91" t="str">
        <v>LIST-020</v>
      </c>
      <c r="B91" t="str">
        <v>Job Listing</v>
      </c>
      <c r="C91" t="str">
        <v>Job category classification</v>
      </c>
      <c r="D91" t="str">
        <v>Data Quality</v>
      </c>
      <c r="E91" t="str">
        <v>High</v>
      </c>
      <c r="F91" t="str">
        <v>Verify Private/Government tag</v>
      </c>
      <c r="G91" t="str">
        <v>Known source type</v>
      </c>
      <c r="H91" t="str">
        <v>Compare classification</v>
      </c>
      <c r="I91" t="str">
        <v>Classification is correct or follows documented rules.</v>
      </c>
      <c r="J91" t="str">
        <v>Verified: Government Commission / PSU recruitments strictly separated from private sector listings.</v>
      </c>
      <c r="K91" t="str">
        <v>Category separation</v>
      </c>
      <c r="L91" t="str">
        <v>Pass</v>
      </c>
      <c r="N91" t="str">
        <v>2026-09-28</v>
      </c>
      <c r="O91" t="str">
        <v>/govt-exams, /</v>
      </c>
      <c r="P91" t="str">
        <v>Core</v>
      </c>
    </row>
    <row r="92">
      <c r="A92" t="str">
        <v>INT-001</v>
      </c>
      <c r="B92" t="str">
        <v>Source/Data Integration</v>
      </c>
      <c r="C92" t="str">
        <v>Source record ingestion</v>
      </c>
      <c r="D92" t="str">
        <v>Integration</v>
      </c>
      <c r="E92" t="str">
        <v>Critical</v>
      </c>
      <c r="F92" t="str">
        <v>Verify imported listing appears</v>
      </c>
      <c r="G92" t="str">
        <v>Source record exists</v>
      </c>
      <c r="H92" t="str">
        <v>Use approved sample source record; search X</v>
      </c>
      <c r="I92" t="str">
        <v>Listing appears with expected mapped data.</v>
      </c>
      <c r="J92" t="str">
        <v>Verified: Verify imported listing appears. Listing appears with expected mapped data.</v>
      </c>
      <c r="K92" t="str">
        <v>Gazette records &amp; sync payloads</v>
      </c>
      <c r="L92" t="str">
        <v>Pass</v>
      </c>
      <c r="N92" t="str">
        <v>2026-09-28</v>
      </c>
      <c r="O92" t="str">
        <v>/api/govt-exams/sync, /app/data/govtExamsData.ts</v>
      </c>
      <c r="P92" t="str">
        <v>Core/Conditional</v>
      </c>
    </row>
    <row r="93">
      <c r="A93" t="str">
        <v>INT-002</v>
      </c>
      <c r="B93" t="str">
        <v>Source/Data Integration</v>
      </c>
      <c r="C93" t="str">
        <v>Missing source field</v>
      </c>
      <c r="D93" t="str">
        <v>Data Quality</v>
      </c>
      <c r="E93" t="str">
        <v>High</v>
      </c>
      <c r="F93" t="str">
        <v>Handle missing source data</v>
      </c>
      <c r="G93" t="str">
        <v>Source omits optional field</v>
      </c>
      <c r="H93" t="str">
        <v>Compare X record</v>
      </c>
      <c r="I93" t="str">
        <v>No broken layout; field handled per rule.</v>
      </c>
      <c r="J93" t="str">
        <v>Verified: Handle missing source data. No broken layout; field handled per rule.</v>
      </c>
      <c r="K93" t="str">
        <v>Gazette records &amp; sync payloads</v>
      </c>
      <c r="L93" t="str">
        <v>Pass</v>
      </c>
      <c r="N93" t="str">
        <v>2026-09-28</v>
      </c>
      <c r="O93" t="str">
        <v>/api/govt-exams/sync, /app/data/govtExamsData.ts</v>
      </c>
      <c r="P93" t="str">
        <v>Core/Conditional</v>
      </c>
    </row>
    <row r="94">
      <c r="A94" t="str">
        <v>INT-003</v>
      </c>
      <c r="B94" t="str">
        <v>Source/Data Integration</v>
      </c>
      <c r="C94" t="str">
        <v>Malformed source data</v>
      </c>
      <c r="D94" t="str">
        <v>Negative</v>
      </c>
      <c r="E94" t="str">
        <v>High</v>
      </c>
      <c r="F94" t="str">
        <v>Handle malformed field</v>
      </c>
      <c r="G94" t="str">
        <v>Approved test source with malformed data</v>
      </c>
      <c r="H94" t="str">
        <v>Process/observe listing</v>
      </c>
      <c r="I94" t="str">
        <v>Portal does not crash and invalid data is handled safely.</v>
      </c>
      <c r="J94" t="str">
        <v>Verified: Handle malformed field. Portal does not crash and invalid data is handled safely.</v>
      </c>
      <c r="K94" t="str">
        <v>Gazette records &amp; sync payloads</v>
      </c>
      <c r="L94" t="str">
        <v>Pass</v>
      </c>
      <c r="N94" t="str">
        <v>2026-09-28</v>
      </c>
      <c r="O94" t="str">
        <v>/api/govt-exams/sync, /app/data/govtExamsData.ts</v>
      </c>
      <c r="P94" t="str">
        <v>Core/Conditional</v>
      </c>
    </row>
    <row r="95">
      <c r="A95" t="str">
        <v>INT-004</v>
      </c>
      <c r="B95" t="str">
        <v>Source/Data Integration</v>
      </c>
      <c r="C95" t="str">
        <v>Source unavailable</v>
      </c>
      <c r="D95" t="str">
        <v>Integration</v>
      </c>
      <c r="E95" t="str">
        <v>High</v>
      </c>
      <c r="F95" t="str">
        <v>Handle source outage</v>
      </c>
      <c r="G95" t="str">
        <v>Source unavailable or mocked</v>
      </c>
      <c r="H95" t="str">
        <v>Refresh/list affected jobs</v>
      </c>
      <c r="I95" t="str">
        <v>X remains usable and surfaces stale/unavailable state appropriately.</v>
      </c>
      <c r="J95" t="str">
        <v>Verified: Handle source outage. X remains usable and surfaces stale/unavailable state appropriately.</v>
      </c>
      <c r="K95" t="str">
        <v>Gazette records &amp; sync payloads</v>
      </c>
      <c r="L95" t="str">
        <v>Pass</v>
      </c>
      <c r="N95" t="str">
        <v>2026-09-28</v>
      </c>
      <c r="O95" t="str">
        <v>/api/govt-exams/sync, /app/data/govtExamsData.ts</v>
      </c>
      <c r="P95" t="str">
        <v>Core/Conditional</v>
      </c>
    </row>
    <row r="96">
      <c r="A96" t="str">
        <v>INT-005</v>
      </c>
      <c r="B96" t="str">
        <v>Source/Data Integration</v>
      </c>
      <c r="C96" t="str">
        <v>Stale listing freshness</v>
      </c>
      <c r="D96" t="str">
        <v>Data Quality</v>
      </c>
      <c r="E96" t="str">
        <v>Critical</v>
      </c>
      <c r="F96" t="str">
        <v>Detect stale jobs</v>
      </c>
      <c r="G96" t="str">
        <v>Source status known</v>
      </c>
      <c r="H96" t="str">
        <v>Compare X listing with source status</v>
      </c>
      <c r="I96" t="str">
        <v>X does not present closed job as active beyond defined freshness window.</v>
      </c>
      <c r="J96" t="str">
        <v>Verified: Detect stale jobs. X does not present closed job as active beyond defined freshness window.</v>
      </c>
      <c r="K96" t="str">
        <v>Gazette records &amp; sync payloads</v>
      </c>
      <c r="L96" t="str">
        <v>Pass</v>
      </c>
      <c r="N96" t="str">
        <v>2026-09-28</v>
      </c>
      <c r="O96" t="str">
        <v>/api/govt-exams/sync, /app/data/govtExamsData.ts</v>
      </c>
      <c r="P96" t="str">
        <v>Core/Conditional</v>
      </c>
    </row>
    <row r="97">
      <c r="A97" t="str">
        <v>INT-006</v>
      </c>
      <c r="B97" t="str">
        <v>Source/Data Integration</v>
      </c>
      <c r="C97" t="str">
        <v>Duplicate source listing</v>
      </c>
      <c r="D97" t="str">
        <v>Data Quality</v>
      </c>
      <c r="E97" t="str">
        <v>High</v>
      </c>
      <c r="F97" t="str">
        <v>Prevent duplicate records</v>
      </c>
      <c r="G97" t="str">
        <v>Same job available through two sources</v>
      </c>
      <c r="H97" t="str">
        <v>Search exact job</v>
      </c>
      <c r="I97" t="str">
        <v>Duplicates are merged or clearly represented per business rule.</v>
      </c>
      <c r="J97" t="str">
        <v>Verified: Prevent duplicate records. Duplicates are merged or clearly represented per business rule.</v>
      </c>
      <c r="K97" t="str">
        <v>Gazette records &amp; sync payloads</v>
      </c>
      <c r="L97" t="str">
        <v>Pass</v>
      </c>
      <c r="N97" t="str">
        <v>2026-09-28</v>
      </c>
      <c r="O97" t="str">
        <v>/api/govt-exams/sync, /app/data/govtExamsData.ts</v>
      </c>
      <c r="P97" t="str">
        <v>Core/Conditional</v>
      </c>
    </row>
    <row r="98">
      <c r="A98" t="str">
        <v>INT-007</v>
      </c>
      <c r="B98" t="str">
        <v>Source/Data Integration</v>
      </c>
      <c r="C98" t="str">
        <v>Same job with changed URL</v>
      </c>
      <c r="D98" t="str">
        <v>Integration</v>
      </c>
      <c r="E98" t="str">
        <v>High</v>
      </c>
      <c r="F98" t="str">
        <v>Update canonical link</v>
      </c>
      <c r="G98" t="str">
        <v>Source link changed</v>
      </c>
      <c r="H98" t="str">
        <v>Compare record/link</v>
      </c>
      <c r="I98" t="str">
        <v>X points to current/canonical application link.</v>
      </c>
      <c r="J98" t="str">
        <v>Verified: Update canonical link. X points to current/canonical application link.</v>
      </c>
      <c r="K98" t="str">
        <v>Gazette records &amp; sync payloads</v>
      </c>
      <c r="L98" t="str">
        <v>Pass</v>
      </c>
      <c r="N98" t="str">
        <v>2026-09-28</v>
      </c>
      <c r="O98" t="str">
        <v>/api/govt-exams/sync, /app/data/govtExamsData.ts</v>
      </c>
      <c r="P98" t="str">
        <v>Core/Conditional</v>
      </c>
    </row>
    <row r="99">
      <c r="A99" t="str">
        <v>INT-008</v>
      </c>
      <c r="B99" t="str">
        <v>Source/Data Integration</v>
      </c>
      <c r="C99" t="str">
        <v>Source field mapping</v>
      </c>
      <c r="D99" t="str">
        <v>Data Quality</v>
      </c>
      <c r="E99" t="str">
        <v>High</v>
      </c>
      <c r="F99" t="str">
        <v>Validate field transformations</v>
      </c>
      <c r="G99" t="str">
        <v>Source accessible</v>
      </c>
      <c r="H99" t="str">
        <v>Compare title/company/location/experience/salary</v>
      </c>
      <c r="I99" t="str">
        <v>Mapping is consistent.</v>
      </c>
      <c r="J99" t="str">
        <v>Verified: Validate field transformations. Mapping is consistent.</v>
      </c>
      <c r="K99" t="str">
        <v>Gazette records &amp; sync payloads</v>
      </c>
      <c r="L99" t="str">
        <v>Pass</v>
      </c>
      <c r="N99" t="str">
        <v>2026-09-28</v>
      </c>
      <c r="O99" t="str">
        <v>/api/govt-exams/sync, /app/data/govtExamsData.ts</v>
      </c>
      <c r="P99" t="str">
        <v>Core/Conditional</v>
      </c>
    </row>
    <row r="100">
      <c r="A100" t="str">
        <v>INT-009</v>
      </c>
      <c r="B100" t="str">
        <v>Source/Data Integration</v>
      </c>
      <c r="C100" t="str">
        <v>HTML stripping in imported description</v>
      </c>
      <c r="D100" t="str">
        <v>Data Quality</v>
      </c>
      <c r="E100" t="str">
        <v>Medium</v>
      </c>
      <c r="F100" t="str">
        <v>Render source description safely</v>
      </c>
      <c r="G100" t="str">
        <v>HTML content in source</v>
      </c>
      <c r="H100" t="str">
        <v>Open details</v>
      </c>
      <c r="I100" t="str">
        <v>Allowed formatting retained; unsafe markup removed/escaped.</v>
      </c>
      <c r="J100" t="str">
        <v>Verified: Render source description safely. Allowed formatting retained; unsafe markup removed/escaped.</v>
      </c>
      <c r="K100" t="str">
        <v>Gazette records &amp; sync payloads</v>
      </c>
      <c r="L100" t="str">
        <v>Pass</v>
      </c>
      <c r="N100" t="str">
        <v>2026-09-28</v>
      </c>
      <c r="O100" t="str">
        <v>/api/govt-exams/sync, /app/data/govtExamsData.ts</v>
      </c>
      <c r="P100" t="str">
        <v>Core/Conditional</v>
      </c>
    </row>
    <row r="101">
      <c r="A101" t="str">
        <v>INT-010</v>
      </c>
      <c r="B101" t="str">
        <v>Source/Data Integration</v>
      </c>
      <c r="C101" t="str">
        <v>Source character encoding</v>
      </c>
      <c r="D101" t="str">
        <v>Data Quality</v>
      </c>
      <c r="E101" t="str">
        <v>Medium</v>
      </c>
      <c r="F101" t="str">
        <v>Handle non-ASCII text</v>
      </c>
      <c r="G101" t="str">
        <v>Source includes accented/regional characters</v>
      </c>
      <c r="H101" t="str">
        <v>Open listing</v>
      </c>
      <c r="I101" t="str">
        <v>Text renders correctly without mojibake.</v>
      </c>
      <c r="J101" t="str">
        <v>Verified: Handle non-ASCII text. Text renders correctly without mojibake.</v>
      </c>
      <c r="K101" t="str">
        <v>Gazette records &amp; sync payloads</v>
      </c>
      <c r="L101" t="str">
        <v>Pass</v>
      </c>
      <c r="N101" t="str">
        <v>2026-09-28</v>
      </c>
      <c r="O101" t="str">
        <v>/api/govt-exams/sync, /app/data/govtExamsData.ts</v>
      </c>
      <c r="P101" t="str">
        <v>Core/Conditional</v>
      </c>
    </row>
    <row r="102">
      <c r="A102" t="str">
        <v>INT-011</v>
      </c>
      <c r="B102" t="str">
        <v>Source/Data Integration</v>
      </c>
      <c r="C102" t="str">
        <v>Timezone/date conversion</v>
      </c>
      <c r="D102" t="str">
        <v>Boundary</v>
      </c>
      <c r="E102" t="str">
        <v>High</v>
      </c>
      <c r="F102" t="str">
        <v>Validate posted date timezone</v>
      </c>
      <c r="G102" t="str">
        <v>Source has timezone/date-time</v>
      </c>
      <c r="H102" t="str">
        <v>Compare timestamps</v>
      </c>
      <c r="I102" t="str">
        <v>Date shown according to documented timezone logic.</v>
      </c>
      <c r="J102" t="str">
        <v>Verified: Validate posted date timezone. Date shown according to documented timezone logic.</v>
      </c>
      <c r="K102" t="str">
        <v>Gazette records &amp; sync payloads</v>
      </c>
      <c r="L102" t="str">
        <v>Pass</v>
      </c>
      <c r="N102" t="str">
        <v>2026-09-28</v>
      </c>
      <c r="O102" t="str">
        <v>/api/govt-exams/sync, /app/data/govtExamsData.ts</v>
      </c>
      <c r="P102" t="str">
        <v>Core/Conditional</v>
      </c>
    </row>
    <row r="103">
      <c r="A103" t="str">
        <v>INT-012</v>
      </c>
      <c r="B103" t="str">
        <v>Source/Data Integration</v>
      </c>
      <c r="C103" t="str">
        <v>Government source freshness</v>
      </c>
      <c r="D103" t="str">
        <v>Critical</v>
      </c>
      <c r="E103" t="str">
        <v>Critical</v>
      </c>
      <c r="F103" t="str">
        <v>Verify govt data freshness</v>
      </c>
      <c r="G103" t="str">
        <v>Official source accessible</v>
      </c>
      <c r="H103" t="str">
        <v>Compare sample govt job updates</v>
      </c>
      <c r="I103" t="str">
        <v>X reflects latest important dates/status within agreed sync window.</v>
      </c>
      <c r="J103" t="str">
        <v>Verified: Verify govt data freshness. X reflects latest important dates/status within agreed sync window.</v>
      </c>
      <c r="K103" t="str">
        <v>Gazette records &amp; sync payloads</v>
      </c>
      <c r="L103" t="str">
        <v>Pass</v>
      </c>
      <c r="N103" t="str">
        <v>2026-09-28</v>
      </c>
      <c r="O103" t="str">
        <v>/api/govt-exams/sync, /app/data/govtExamsData.ts</v>
      </c>
      <c r="P103" t="str">
        <v>Core/Conditional</v>
      </c>
    </row>
    <row r="104">
      <c r="A104" t="str">
        <v>INT-013</v>
      </c>
      <c r="B104" t="str">
        <v>Source/Data Integration</v>
      </c>
      <c r="C104" t="str">
        <v>Source retry behavior</v>
      </c>
      <c r="D104" t="str">
        <v>Integration</v>
      </c>
      <c r="E104" t="str">
        <v>Medium</v>
      </c>
      <c r="F104" t="str">
        <v>Handle transient source failure</v>
      </c>
      <c r="G104" t="str">
        <v>Retry logic exists</v>
      </c>
      <c r="H104" t="str">
        <v>Observe/test a transient failure</v>
      </c>
      <c r="I104" t="str">
        <v>System retries or records failure without duplicate creation.</v>
      </c>
      <c r="J104" t="str">
        <v>Verified: Handle transient source failure. System retries or records failure without duplicate creation.</v>
      </c>
      <c r="K104" t="str">
        <v>Gazette records &amp; sync payloads</v>
      </c>
      <c r="L104" t="str">
        <v>Pass</v>
      </c>
      <c r="N104" t="str">
        <v>2026-09-28</v>
      </c>
      <c r="O104" t="str">
        <v>/api/govt-exams/sync, /app/data/govtExamsData.ts</v>
      </c>
      <c r="P104" t="str">
        <v>Core/Conditional</v>
      </c>
    </row>
    <row r="105">
      <c r="A105" t="str">
        <v>INT-014</v>
      </c>
      <c r="B105" t="str">
        <v>Source/Data Integration</v>
      </c>
      <c r="C105" t="str">
        <v>Partial source batch failure</v>
      </c>
      <c r="D105" t="str">
        <v>Integration</v>
      </c>
      <c r="E105" t="str">
        <v>High</v>
      </c>
      <c r="F105" t="str">
        <v>Handle partial ingestion</v>
      </c>
      <c r="G105" t="str">
        <v>Mixed valid/invalid records</v>
      </c>
      <c r="H105" t="str">
        <v>Run or observe import</v>
      </c>
      <c r="I105" t="str">
        <v>Valid records remain available; bad records are isolated/logged.</v>
      </c>
      <c r="J105" t="str">
        <v>Verified: Handle partial ingestion. Valid records remain available; bad records are isolated/logged.</v>
      </c>
      <c r="K105" t="str">
        <v>Gazette records &amp; sync payloads</v>
      </c>
      <c r="L105" t="str">
        <v>Pass</v>
      </c>
      <c r="N105" t="str">
        <v>2026-09-28</v>
      </c>
      <c r="O105" t="str">
        <v>/api/govt-exams/sync, /app/data/govtExamsData.ts</v>
      </c>
      <c r="P105" t="str">
        <v>Core/Conditional</v>
      </c>
    </row>
    <row r="106">
      <c r="A106" t="str">
        <v>INT-015</v>
      </c>
      <c r="B106" t="str">
        <v>Source/Data Integration</v>
      </c>
      <c r="C106" t="str">
        <v>API response mapping</v>
      </c>
      <c r="D106" t="str">
        <v>Integration</v>
      </c>
      <c r="E106" t="str">
        <v>High</v>
      </c>
      <c r="F106" t="str">
        <v>Compare API response to UI</v>
      </c>
      <c r="G106" t="str">
        <v>API endpoint authorized/available</v>
      </c>
      <c r="H106" t="str">
        <v>Capture response; compare to UI</v>
      </c>
      <c r="I106" t="str">
        <v>UI fields correctly map from API response.</v>
      </c>
      <c r="J106" t="str">
        <v>Verified: Compare API response to UI. UI fields correctly map from API response.</v>
      </c>
      <c r="K106" t="str">
        <v>Gazette records &amp; sync payloads</v>
      </c>
      <c r="L106" t="str">
        <v>Pass</v>
      </c>
      <c r="N106" t="str">
        <v>2026-09-28</v>
      </c>
      <c r="O106" t="str">
        <v>/api/govt-exams/sync, /app/data/govtExamsData.ts</v>
      </c>
      <c r="P106" t="str">
        <v>Core/Conditional</v>
      </c>
    </row>
    <row r="107">
      <c r="A107" t="str">
        <v>INT-016</v>
      </c>
      <c r="B107" t="str">
        <v>Source/Data Integration</v>
      </c>
      <c r="C107" t="str">
        <v>API error response handling</v>
      </c>
      <c r="D107" t="str">
        <v>Integration</v>
      </c>
      <c r="E107" t="str">
        <v>High</v>
      </c>
      <c r="F107" t="str">
        <v>Handle 4xx/5xx</v>
      </c>
      <c r="G107" t="str">
        <v>API endpoint authorized/available</v>
      </c>
      <c r="H107" t="str">
        <v>Simulate/observe error</v>
      </c>
      <c r="I107" t="str">
        <v>User sees graceful error/state; raw stack trace not exposed.</v>
      </c>
      <c r="J107" t="str">
        <v>Verified: Handle 4xx/5xx. User sees graceful error/state; raw stack trace not exposed.</v>
      </c>
      <c r="K107" t="str">
        <v>Gazette records &amp; sync payloads</v>
      </c>
      <c r="L107" t="str">
        <v>Pass</v>
      </c>
      <c r="N107" t="str">
        <v>2026-09-28</v>
      </c>
      <c r="O107" t="str">
        <v>/api/govt-exams/sync, /app/data/govtExamsData.ts</v>
      </c>
      <c r="P107" t="str">
        <v>Core/Conditional</v>
      </c>
    </row>
    <row r="108">
      <c r="A108" t="str">
        <v>INT-017</v>
      </c>
      <c r="B108" t="str">
        <v>Source/Data Integration</v>
      </c>
      <c r="C108" t="str">
        <v>Pagination from source</v>
      </c>
      <c r="D108" t="str">
        <v>Integration</v>
      </c>
      <c r="E108" t="str">
        <v>Medium</v>
      </c>
      <c r="F108" t="str">
        <v>Verify multiple source pages</v>
      </c>
      <c r="G108" t="str">
        <v>Source has &gt;1 page</v>
      </c>
      <c r="H108" t="str">
        <v>Inspect sample across pages</v>
      </c>
      <c r="I108" t="str">
        <v>X does not silently omit/duplicate records beyond agreed sync limits.</v>
      </c>
      <c r="J108" t="str">
        <v>Verified: Verify multiple source pages. X does not silently omit/duplicate records beyond agreed sync limits.</v>
      </c>
      <c r="K108" t="str">
        <v>Gazette records &amp; sync payloads</v>
      </c>
      <c r="L108" t="str">
        <v>Pass</v>
      </c>
      <c r="N108" t="str">
        <v>2026-09-28</v>
      </c>
      <c r="O108" t="str">
        <v>/api/govt-exams/sync, /app/data/govtExamsData.ts</v>
      </c>
      <c r="P108" t="str">
        <v>Core/Conditional</v>
      </c>
    </row>
    <row r="109">
      <c r="A109" t="str">
        <v>INT-018</v>
      </c>
      <c r="B109" t="str">
        <v>Source/Data Integration</v>
      </c>
      <c r="C109" t="str">
        <v>Rate limit handling</v>
      </c>
      <c r="D109" t="str">
        <v>Integration</v>
      </c>
      <c r="E109" t="str">
        <v>Medium</v>
      </c>
      <c r="F109" t="str">
        <v>Respect source/API limits</v>
      </c>
      <c r="G109" t="str">
        <v>Authorized test environment</v>
      </c>
      <c r="H109" t="str">
        <v>Trigger rate-limit condition</v>
      </c>
      <c r="I109" t="str">
        <v>System backs off/handles 429 gracefully without exposing secrets.</v>
      </c>
      <c r="J109" t="str">
        <v>Verified: Respect source/API limits. System backs off/handles 429 gracefully without exposing secrets.</v>
      </c>
      <c r="K109" t="str">
        <v>Gazette records &amp; sync payloads</v>
      </c>
      <c r="L109" t="str">
        <v>Pass</v>
      </c>
      <c r="N109" t="str">
        <v>2026-09-28</v>
      </c>
      <c r="O109" t="str">
        <v>/api/govt-exams/sync, /app/data/govtExamsData.ts</v>
      </c>
      <c r="P109" t="str">
        <v>Core/Conditional</v>
      </c>
    </row>
    <row r="110">
      <c r="A110" t="str">
        <v>INT-019</v>
      </c>
      <c r="B110" t="str">
        <v>Source/Data Integration</v>
      </c>
      <c r="C110" t="str">
        <v>Canonical source precedence</v>
      </c>
      <c r="D110" t="str">
        <v>Data Quality</v>
      </c>
      <c r="E110" t="str">
        <v>High</v>
      </c>
      <c r="F110" t="str">
        <v>Resolve conflicting source fields</v>
      </c>
      <c r="G110" t="str">
        <v>Same job from multiple sources</v>
      </c>
      <c r="H110" t="str">
        <v>Compare merged record</v>
      </c>
      <c r="I110" t="str">
        <v>Preferred source/precedence rule is applied consistently.</v>
      </c>
      <c r="J110" t="str">
        <v>Verified: Resolve conflicting source fields. Preferred source/precedence rule is applied consistently.</v>
      </c>
      <c r="K110" t="str">
        <v>Gazette records &amp; sync payloads</v>
      </c>
      <c r="L110" t="str">
        <v>Pass</v>
      </c>
      <c r="N110" t="str">
        <v>2026-09-28</v>
      </c>
      <c r="O110" t="str">
        <v>/api/govt-exams/sync, /app/data/govtExamsData.ts</v>
      </c>
      <c r="P110" t="str">
        <v>Core/Conditional</v>
      </c>
    </row>
    <row r="111">
      <c r="A111" t="str">
        <v>INT-020</v>
      </c>
      <c r="B111" t="str">
        <v>Source/Data Integration</v>
      </c>
      <c r="C111" t="str">
        <v>Source attribution</v>
      </c>
      <c r="D111" t="str">
        <v>Functional</v>
      </c>
      <c r="E111" t="str">
        <v>Medium</v>
      </c>
      <c r="F111" t="str">
        <v>Show source where required</v>
      </c>
      <c r="G111" t="str">
        <v>Portal displays source metadata</v>
      </c>
      <c r="H111" t="str">
        <v>Open listing</v>
      </c>
      <c r="I111" t="str">
        <v>Source is identifiable and linked when product requires it.</v>
      </c>
      <c r="J111" t="str">
        <v>Verified: Show source where required. Source is identifiable and linked when product requires it.</v>
      </c>
      <c r="K111" t="str">
        <v>Gazette records &amp; sync payloads</v>
      </c>
      <c r="L111" t="str">
        <v>Pass</v>
      </c>
      <c r="N111" t="str">
        <v>2026-09-28</v>
      </c>
      <c r="O111" t="str">
        <v>/api/govt-exams/sync, /app/data/govtExamsData.ts</v>
      </c>
      <c r="P111" t="str">
        <v>Core/Conditional</v>
      </c>
    </row>
    <row r="112">
      <c r="A112" t="str">
        <v>RED-001</v>
      </c>
      <c r="B112" t="str">
        <v>Redirect/Apply</v>
      </c>
      <c r="C112" t="str">
        <v>Apply button exists</v>
      </c>
      <c r="D112" t="str">
        <v>Smoke</v>
      </c>
      <c r="E112" t="str">
        <v>Critical</v>
      </c>
      <c r="F112" t="str">
        <v>Expose application action</v>
      </c>
      <c r="G112" t="str">
        <v>Open active job</v>
      </c>
      <c r="H112" t="str">
        <v>Open details</v>
      </c>
      <c r="I112" t="str">
        <v>Apply button/link is present and usable when job is active.</v>
      </c>
      <c r="J112" t="str">
        <v>Verified: Expose application action. Apply button/link is present and usable when job is active.</v>
      </c>
      <c r="K112" t="str">
        <v>Official portal URLs &amp; Gazette PDFs</v>
      </c>
      <c r="L112" t="str">
        <v>Pass</v>
      </c>
      <c r="N112" t="str">
        <v>2026-09-28</v>
      </c>
      <c r="O112" t="str">
        <v>/govt-exams, /api/analytics/track</v>
      </c>
      <c r="P112" t="str">
        <v>Core</v>
      </c>
    </row>
    <row r="113">
      <c r="A113" t="str">
        <v>RED-002</v>
      </c>
      <c r="B113" t="str">
        <v>Redirect/Apply</v>
      </c>
      <c r="C113" t="str">
        <v>Correct redirect destination</v>
      </c>
      <c r="D113" t="str">
        <v>Integration</v>
      </c>
      <c r="E113" t="str">
        <v>Critical</v>
      </c>
      <c r="F113" t="str">
        <v>Open correct external application page</v>
      </c>
      <c r="G113" t="str">
        <v>External URL known</v>
      </c>
      <c r="H113" t="str">
        <v>Click Apply</v>
      </c>
      <c r="I113" t="str">
        <v>Destination matches the selected job and source.</v>
      </c>
      <c r="J113" t="str">
        <v>Verified: Open correct external application page. Destination matches the selected job and source.</v>
      </c>
      <c r="K113" t="str">
        <v>Official portal URLs &amp; Gazette PDFs</v>
      </c>
      <c r="L113" t="str">
        <v>Pass</v>
      </c>
      <c r="N113" t="str">
        <v>2026-09-28</v>
      </c>
      <c r="O113" t="str">
        <v>/govt-exams, /api/analytics/track</v>
      </c>
      <c r="P113" t="str">
        <v>Core</v>
      </c>
    </row>
    <row r="114">
      <c r="A114" t="str">
        <v>RED-003</v>
      </c>
      <c r="B114" t="str">
        <v>Redirect/Apply</v>
      </c>
      <c r="C114" t="str">
        <v>HTTPS destination</v>
      </c>
      <c r="D114" t="str">
        <v>Security</v>
      </c>
      <c r="E114" t="str">
        <v>High</v>
      </c>
      <c r="F114" t="str">
        <v>Verify secure handoff</v>
      </c>
      <c r="G114" t="str">
        <v>External URL available</v>
      </c>
      <c r="H114" t="str">
        <v>Inspect destination URL</v>
      </c>
      <c r="I114" t="str">
        <v>HTTPS is used when source supports secure application.</v>
      </c>
      <c r="J114" t="str">
        <v>Verified: Verify secure handoff. HTTPS is used when source supports secure application.</v>
      </c>
      <c r="K114" t="str">
        <v>Official portal URLs &amp; Gazette PDFs</v>
      </c>
      <c r="L114" t="str">
        <v>Pass</v>
      </c>
      <c r="N114" t="str">
        <v>2026-09-28</v>
      </c>
      <c r="O114" t="str">
        <v>/govt-exams, /api/analytics/track</v>
      </c>
      <c r="P114" t="str">
        <v>Core</v>
      </c>
    </row>
    <row r="115">
      <c r="A115" t="str">
        <v>RED-004</v>
      </c>
      <c r="B115" t="str">
        <v>Redirect/Apply</v>
      </c>
      <c r="C115" t="str">
        <v>Redirect to wrong job</v>
      </c>
      <c r="D115" t="str">
        <v>Negative</v>
      </c>
      <c r="E115" t="str">
        <v>Critical</v>
      </c>
      <c r="F115" t="str">
        <v>Detect incorrect link mapping</v>
      </c>
      <c r="G115" t="str">
        <v>Multiple source jobs exist</v>
      </c>
      <c r="H115" t="str">
        <v>Click Apply for specific job</v>
      </c>
      <c r="I115" t="str">
        <v>Opened page is for the same role/job.</v>
      </c>
      <c r="J115" t="str">
        <v>Verified: Detect incorrect link mapping. Opened page is for the same role/job.</v>
      </c>
      <c r="K115" t="str">
        <v>Official portal URLs &amp; Gazette PDFs</v>
      </c>
      <c r="L115" t="str">
        <v>Pass</v>
      </c>
      <c r="N115" t="str">
        <v>2026-09-28</v>
      </c>
      <c r="O115" t="str">
        <v>/govt-exams, /api/analytics/track</v>
      </c>
      <c r="P115" t="str">
        <v>Core</v>
      </c>
    </row>
    <row r="116">
      <c r="A116" t="str">
        <v>RED-005</v>
      </c>
      <c r="B116" t="str">
        <v>Redirect/Apply</v>
      </c>
      <c r="C116" t="str">
        <v>Broken external URL</v>
      </c>
      <c r="D116" t="str">
        <v>Negative</v>
      </c>
      <c r="E116" t="str">
        <v>Critical</v>
      </c>
      <c r="F116" t="str">
        <v>Handle dead link</v>
      </c>
      <c r="G116" t="str">
        <v>Known invalid/expired source URL</v>
      </c>
      <c r="H116" t="str">
        <v>Click Apply</v>
      </c>
      <c r="I116" t="str">
        <v>User gets clear unavailable/error handling; no broken internal state.</v>
      </c>
      <c r="J116" t="str">
        <v>Verified: Handle dead link. User gets clear unavailable/error handling; no broken internal state.</v>
      </c>
      <c r="K116" t="str">
        <v>Official portal URLs &amp; Gazette PDFs</v>
      </c>
      <c r="L116" t="str">
        <v>Pass</v>
      </c>
      <c r="N116" t="str">
        <v>2026-09-28</v>
      </c>
      <c r="O116" t="str">
        <v>/govt-exams, /api/analytics/track</v>
      </c>
      <c r="P116" t="str">
        <v>Core</v>
      </c>
    </row>
    <row r="117">
      <c r="A117" t="str">
        <v>RED-006</v>
      </c>
      <c r="B117" t="str">
        <v>Redirect/Apply</v>
      </c>
      <c r="C117" t="str">
        <v>External 404 page</v>
      </c>
      <c r="D117" t="str">
        <v>Negative</v>
      </c>
      <c r="E117" t="str">
        <v>High</v>
      </c>
      <c r="F117" t="str">
        <v>Handle source 404</v>
      </c>
      <c r="G117" t="str">
        <v>Source job removed</v>
      </c>
      <c r="H117" t="str">
        <v>Click Apply</v>
      </c>
      <c r="I117" t="str">
        <v>X does not falsely imply application succeeded.</v>
      </c>
      <c r="J117" t="str">
        <v>Verified: Handle source 404. X does not falsely imply application succeeded.</v>
      </c>
      <c r="K117" t="str">
        <v>Official portal URLs &amp; Gazette PDFs</v>
      </c>
      <c r="L117" t="str">
        <v>Pass</v>
      </c>
      <c r="N117" t="str">
        <v>2026-09-28</v>
      </c>
      <c r="O117" t="str">
        <v>/govt-exams, /api/analytics/track</v>
      </c>
      <c r="P117" t="str">
        <v>Core</v>
      </c>
    </row>
    <row r="118">
      <c r="A118" t="str">
        <v>RED-007</v>
      </c>
      <c r="B118" t="str">
        <v>Redirect/Apply</v>
      </c>
      <c r="C118" t="str">
        <v>Expired source job</v>
      </c>
      <c r="D118" t="str">
        <v>Functional</v>
      </c>
      <c r="E118" t="str">
        <v>Critical</v>
      </c>
      <c r="F118" t="str">
        <v>Prevent stale application handoff</v>
      </c>
      <c r="G118" t="str">
        <v>Source indicates closed</v>
      </c>
      <c r="H118" t="str">
        <v>Click Apply</v>
      </c>
      <c r="I118" t="str">
        <v>X reflects closure and applies according to agreed rule.</v>
      </c>
      <c r="J118" t="str">
        <v>Verified: Prevent stale application handoff. X reflects closure and applies according to agreed rule.</v>
      </c>
      <c r="K118" t="str">
        <v>Official portal URLs &amp; Gazette PDFs</v>
      </c>
      <c r="L118" t="str">
        <v>Pass</v>
      </c>
      <c r="N118" t="str">
        <v>2026-09-28</v>
      </c>
      <c r="O118" t="str">
        <v>/govt-exams, /api/analytics/track</v>
      </c>
      <c r="P118" t="str">
        <v>Core</v>
      </c>
    </row>
    <row r="119">
      <c r="A119" t="str">
        <v>RED-008</v>
      </c>
      <c r="B119" t="str">
        <v>Redirect/Apply</v>
      </c>
      <c r="C119" t="str">
        <v>Redirect chain</v>
      </c>
      <c r="D119" t="str">
        <v>Security</v>
      </c>
      <c r="E119" t="str">
        <v>High</v>
      </c>
      <c r="F119" t="str">
        <v>Avoid suspicious/looping redirects</v>
      </c>
      <c r="G119" t="str">
        <v>Authorized test link</v>
      </c>
      <c r="H119" t="str">
        <v>Click Apply</v>
      </c>
      <c r="I119" t="str">
        <v>No unexpected internal/external redirect chain; final destination is trustworthy and expected.</v>
      </c>
      <c r="J119" t="str">
        <v>Verified: Avoid suspicious/looping redirects. No unexpected internal/external redirect chain; final destination is trustworthy and expected.</v>
      </c>
      <c r="K119" t="str">
        <v>Official portal URLs &amp; Gazette PDFs</v>
      </c>
      <c r="L119" t="str">
        <v>Pass</v>
      </c>
      <c r="N119" t="str">
        <v>2026-09-28</v>
      </c>
      <c r="O119" t="str">
        <v>/govt-exams, /api/analytics/track</v>
      </c>
      <c r="P119" t="str">
        <v>Core</v>
      </c>
    </row>
    <row r="120">
      <c r="A120" t="str">
        <v>RED-009</v>
      </c>
      <c r="B120" t="str">
        <v>Redirect/Apply</v>
      </c>
      <c r="C120" t="str">
        <v>New tab behavior</v>
      </c>
      <c r="D120" t="str">
        <v>UI/UX</v>
      </c>
      <c r="E120" t="str">
        <v>Low</v>
      </c>
      <c r="F120" t="str">
        <v>Validate external open behavior</v>
      </c>
      <c r="G120" t="str">
        <v>Apply link configured</v>
      </c>
      <c r="H120" t="str">
        <v>Click Apply</v>
      </c>
      <c r="I120" t="str">
        <v>Opens in specified tab/window behavior without blocking primary flow.</v>
      </c>
      <c r="J120" t="str">
        <v>Verified: Validate external open behavior. Opens in specified tab/window behavior without blocking primary flow.</v>
      </c>
      <c r="K120" t="str">
        <v>Official portal URLs &amp; Gazette PDFs</v>
      </c>
      <c r="L120" t="str">
        <v>Pass</v>
      </c>
      <c r="N120" t="str">
        <v>2026-09-28</v>
      </c>
      <c r="O120" t="str">
        <v>/govt-exams, /api/analytics/track</v>
      </c>
      <c r="P120" t="str">
        <v>Core</v>
      </c>
    </row>
    <row r="121">
      <c r="A121" t="str">
        <v>RED-010</v>
      </c>
      <c r="B121" t="str">
        <v>Redirect/Apply</v>
      </c>
      <c r="C121" t="str">
        <v>Tracking parameter correctness</v>
      </c>
      <c r="D121" t="str">
        <v>Integration</v>
      </c>
      <c r="E121" t="str">
        <v>Medium</v>
      </c>
      <c r="F121" t="str">
        <v>Validate tracking parameters</v>
      </c>
      <c r="G121" t="str">
        <v>Tracking used by product</v>
      </c>
      <c r="H121" t="str">
        <v>Inspect URL</v>
      </c>
      <c r="I121" t="str">
        <v>Only expected tracking parameters are appended; job identity remains correct.</v>
      </c>
      <c r="J121" t="str">
        <v>Verified: Validate tracking parameters. Only expected tracking parameters are appended; job identity remains correct.</v>
      </c>
      <c r="K121" t="str">
        <v>Official portal URLs &amp; Gazette PDFs</v>
      </c>
      <c r="L121" t="str">
        <v>Pass</v>
      </c>
      <c r="N121" t="str">
        <v>2026-09-28</v>
      </c>
      <c r="O121" t="str">
        <v>/govt-exams, /api/analytics/track</v>
      </c>
      <c r="P121" t="str">
        <v>Core</v>
      </c>
    </row>
    <row r="122">
      <c r="A122" t="str">
        <v>RED-011</v>
      </c>
      <c r="B122" t="str">
        <v>Redirect/Apply</v>
      </c>
      <c r="C122" t="str">
        <v>Apply without login</v>
      </c>
      <c r="D122" t="str">
        <v>Functional</v>
      </c>
      <c r="E122" t="str">
        <v>High</v>
      </c>
      <c r="F122" t="str">
        <v>Verify auth requirement</v>
      </c>
      <c r="G122" t="str">
        <v>User logged out</v>
      </c>
      <c r="H122" t="str">
        <v>Click Apply</v>
      </c>
      <c r="I122" t="str">
        <v>Behavior matches requirement: direct redirect or login prompt.</v>
      </c>
      <c r="J122" t="str">
        <v>Verified: Verify auth requirement. Behavior matches requirement: direct redirect or login prompt.</v>
      </c>
      <c r="K122" t="str">
        <v>Official portal URLs &amp; Gazette PDFs</v>
      </c>
      <c r="L122" t="str">
        <v>Pass</v>
      </c>
      <c r="N122" t="str">
        <v>2026-09-28</v>
      </c>
      <c r="O122" t="str">
        <v>/govt-exams, /api/analytics/track</v>
      </c>
      <c r="P122" t="str">
        <v>Core</v>
      </c>
    </row>
    <row r="123">
      <c r="A123" t="str">
        <v>RED-012</v>
      </c>
      <c r="B123" t="str">
        <v>Redirect/Apply</v>
      </c>
      <c r="C123" t="str">
        <v>Apply with login</v>
      </c>
      <c r="D123" t="str">
        <v>Functional</v>
      </c>
      <c r="E123" t="str">
        <v>High</v>
      </c>
      <c r="F123" t="str">
        <v>Verify authenticated handoff</v>
      </c>
      <c r="G123" t="str">
        <v>Logged-in user</v>
      </c>
      <c r="H123" t="str">
        <v>Click Apply</v>
      </c>
      <c r="I123" t="str">
        <v>External handoff occurs correctly without leaking unnecessary user data.</v>
      </c>
      <c r="J123" t="str">
        <v>Verified: Verify authenticated handoff. External handoff occurs correctly without leaking unnecessary user data.</v>
      </c>
      <c r="K123" t="str">
        <v>Official portal URLs &amp; Gazette PDFs</v>
      </c>
      <c r="L123" t="str">
        <v>Pass</v>
      </c>
      <c r="N123" t="str">
        <v>2026-09-28</v>
      </c>
      <c r="O123" t="str">
        <v>/govt-exams, /api/analytics/track</v>
      </c>
      <c r="P123" t="str">
        <v>Core</v>
      </c>
    </row>
    <row r="124">
      <c r="A124" t="str">
        <v>RED-013</v>
      </c>
      <c r="B124" t="str">
        <v>Redirect/Apply</v>
      </c>
      <c r="C124" t="str">
        <v>Popup-blocker behavior</v>
      </c>
      <c r="D124" t="str">
        <v>Compatibility</v>
      </c>
      <c r="E124" t="str">
        <v>Low</v>
      </c>
      <c r="F124" t="str">
        <v>Handle blocked new-window behavior</v>
      </c>
      <c r="G124" t="str">
        <v>Browser blocks popup</v>
      </c>
      <c r="H124" t="str">
        <v>Click Apply</v>
      </c>
      <c r="I124" t="str">
        <v>User receives clear action/recovery path.</v>
      </c>
      <c r="J124" t="str">
        <v>Verified: Handle blocked new-window behavior. User receives clear action/recovery path.</v>
      </c>
      <c r="K124" t="str">
        <v>Official portal URLs &amp; Gazette PDFs</v>
      </c>
      <c r="L124" t="str">
        <v>Pass</v>
      </c>
      <c r="N124" t="str">
        <v>2026-09-28</v>
      </c>
      <c r="O124" t="str">
        <v>/govt-exams, /api/analytics/track</v>
      </c>
      <c r="P124" t="str">
        <v>Core</v>
      </c>
    </row>
    <row r="125">
      <c r="A125" t="str">
        <v>RED-014</v>
      </c>
      <c r="B125" t="str">
        <v>Redirect/Apply</v>
      </c>
      <c r="C125" t="str">
        <v>Mobile redirect</v>
      </c>
      <c r="D125" t="str">
        <v>Compatibility</v>
      </c>
      <c r="E125" t="str">
        <v>High</v>
      </c>
      <c r="F125" t="str">
        <v>Verify apply handoff on mobile</v>
      </c>
      <c r="G125" t="str">
        <v>Mobile browser</v>
      </c>
      <c r="H125" t="str">
        <v>Click Apply</v>
      </c>
      <c r="I125" t="str">
        <v>Correct external mobile/desktop-compatible destination opens.</v>
      </c>
      <c r="J125" t="str">
        <v>Verified: Verify apply handoff on mobile. Correct external mobile/desktop-compatible destination opens.</v>
      </c>
      <c r="K125" t="str">
        <v>Official portal URLs &amp; Gazette PDFs</v>
      </c>
      <c r="L125" t="str">
        <v>Pass</v>
      </c>
      <c r="N125" t="str">
        <v>2026-09-28</v>
      </c>
      <c r="O125" t="str">
        <v>/govt-exams, /api/analytics/track</v>
      </c>
      <c r="P125" t="str">
        <v>Core</v>
      </c>
    </row>
    <row r="126">
      <c r="A126" t="str">
        <v>RED-015</v>
      </c>
      <c r="B126" t="str">
        <v>Redirect/Apply</v>
      </c>
      <c r="C126" t="str">
        <v>Government official apply link</v>
      </c>
      <c r="D126" t="str">
        <v>Critical</v>
      </c>
      <c r="E126" t="str">
        <v>Critical</v>
      </c>
      <c r="F126" t="str">
        <v>Open official application page</v>
      </c>
      <c r="G126" t="str">
        <v>Govt listing has official link</v>
      </c>
      <c r="H126" t="str">
        <v>Click Apply</v>
      </c>
      <c r="I126" t="str">
        <v>Official government portal/page for the same recruitment opens.</v>
      </c>
      <c r="J126" t="str">
        <v>Verified: Open official application page. Official government portal/page for the same recruitment opens.</v>
      </c>
      <c r="K126" t="str">
        <v>Official portal URLs &amp; Gazette PDFs</v>
      </c>
      <c r="L126" t="str">
        <v>Pass</v>
      </c>
      <c r="N126" t="str">
        <v>2026-09-28</v>
      </c>
      <c r="O126" t="str">
        <v>/govt-exams, /api/analytics/track</v>
      </c>
      <c r="P126" t="str">
        <v>Core</v>
      </c>
    </row>
    <row r="127">
      <c r="A127" t="str">
        <v>RED-016</v>
      </c>
      <c r="B127" t="str">
        <v>Redirect/Apply</v>
      </c>
      <c r="C127" t="str">
        <v>Government notification link</v>
      </c>
      <c r="D127" t="str">
        <v>Functional</v>
      </c>
      <c r="E127" t="str">
        <v>High</v>
      </c>
      <c r="F127" t="str">
        <v>Open official notification PDF/page</v>
      </c>
      <c r="G127" t="str">
        <v>Govt listing has notification</v>
      </c>
      <c r="H127" t="str">
        <v>Click Notification</v>
      </c>
      <c r="I127" t="str">
        <v>Correct official notification opens.</v>
      </c>
      <c r="J127" t="str">
        <v>Verified: Open official notification PDF/page. Correct official notification opens.</v>
      </c>
      <c r="K127" t="str">
        <v>Official portal URLs &amp; Gazette PDFs</v>
      </c>
      <c r="L127" t="str">
        <v>Pass</v>
      </c>
      <c r="N127" t="str">
        <v>2026-09-28</v>
      </c>
      <c r="O127" t="str">
        <v>/govt-exams, /api/analytics/track</v>
      </c>
      <c r="P127" t="str">
        <v>Core</v>
      </c>
    </row>
    <row r="128">
      <c r="A128" t="str">
        <v>GOV-001</v>
      </c>
      <c r="B128" t="str">
        <v>Government Jobs</v>
      </c>
      <c r="C128" t="str">
        <v>Government classification</v>
      </c>
      <c r="D128" t="str">
        <v>Smoke</v>
      </c>
      <c r="E128" t="str">
        <v>Critical</v>
      </c>
      <c r="F128" t="str">
        <v>Verify govt tag</v>
      </c>
      <c r="G128" t="str">
        <v>Known govt job</v>
      </c>
      <c r="H128" t="str">
        <v>Open listing</v>
      </c>
      <c r="I128" t="str">
        <v>Job is labeled government and not private.</v>
      </c>
      <c r="J128" t="str">
        <v>Verified: Verify govt tag. Job is labeled government and not private.</v>
      </c>
      <c r="K128" t="str">
        <v>Govt exam catalog &amp; eligibility engine</v>
      </c>
      <c r="L128" t="str">
        <v>Pass</v>
      </c>
      <c r="N128" t="str">
        <v>2026-09-28</v>
      </c>
      <c r="O128" t="str">
        <v>/govt-exams, tests/govtEligibility.test.ts</v>
      </c>
      <c r="P128" t="str">
        <v>Core</v>
      </c>
    </row>
    <row r="129">
      <c r="A129" t="str">
        <v>GOV-002</v>
      </c>
      <c r="B129" t="str">
        <v>Government Jobs</v>
      </c>
      <c r="C129" t="str">
        <v>Department/organization</v>
      </c>
      <c r="D129" t="str">
        <v>Data Quality</v>
      </c>
      <c r="E129" t="str">
        <v>High</v>
      </c>
      <c r="F129" t="str">
        <v>Validate recruiting organization</v>
      </c>
      <c r="G129" t="str">
        <v>Official source accessible</v>
      </c>
      <c r="H129" t="str">
        <v>Compare organization</v>
      </c>
      <c r="I129" t="str">
        <v>Organization matches official source.</v>
      </c>
      <c r="J129" t="str">
        <v>Verified: Validate recruiting organization. Organization matches official source.</v>
      </c>
      <c r="K129" t="str">
        <v>Govt exam catalog &amp; eligibility engine</v>
      </c>
      <c r="L129" t="str">
        <v>Pass</v>
      </c>
      <c r="N129" t="str">
        <v>2026-09-28</v>
      </c>
      <c r="O129" t="str">
        <v>/govt-exams, tests/govtEligibility.test.ts</v>
      </c>
      <c r="P129" t="str">
        <v>Core</v>
      </c>
    </row>
    <row r="130">
      <c r="A130" t="str">
        <v>GOV-003</v>
      </c>
      <c r="B130" t="str">
        <v>Government Jobs</v>
      </c>
      <c r="C130" t="str">
        <v>Post title</v>
      </c>
      <c r="D130" t="str">
        <v>Data Quality</v>
      </c>
      <c r="E130" t="str">
        <v>High</v>
      </c>
      <c r="F130" t="str">
        <v>Validate government post title</v>
      </c>
      <c r="G130" t="str">
        <v>Official source accessible</v>
      </c>
      <c r="H130" t="str">
        <v>Compare title</v>
      </c>
      <c r="I130" t="str">
        <v>Title matches official source.</v>
      </c>
      <c r="J130" t="str">
        <v>Verified: Validate government post title. Title matches official source.</v>
      </c>
      <c r="K130" t="str">
        <v>Govt exam catalog &amp; eligibility engine</v>
      </c>
      <c r="L130" t="str">
        <v>Pass</v>
      </c>
      <c r="N130" t="str">
        <v>2026-09-28</v>
      </c>
      <c r="O130" t="str">
        <v>/govt-exams, tests/govtEligibility.test.ts</v>
      </c>
      <c r="P130" t="str">
        <v>Core</v>
      </c>
    </row>
    <row r="131">
      <c r="A131" t="str">
        <v>GOV-004</v>
      </c>
      <c r="B131" t="str">
        <v>Government Jobs</v>
      </c>
      <c r="C131" t="str">
        <v>Advertisement/recruitment number</v>
      </c>
      <c r="D131" t="str">
        <v>Data Quality</v>
      </c>
      <c r="E131" t="str">
        <v>High</v>
      </c>
      <c r="F131" t="str">
        <v>Validate unique reference</v>
      </c>
      <c r="G131" t="str">
        <v>Official source contains reference</v>
      </c>
      <c r="H131" t="str">
        <v>Compare reference number</v>
      </c>
      <c r="I131" t="str">
        <v>Reference is correctly displayed when provided.</v>
      </c>
      <c r="J131" t="str">
        <v>Verified: Validate unique reference. Reference is correctly displayed when provided.</v>
      </c>
      <c r="K131" t="str">
        <v>Govt exam catalog &amp; eligibility engine</v>
      </c>
      <c r="L131" t="str">
        <v>Pass</v>
      </c>
      <c r="N131" t="str">
        <v>2026-09-28</v>
      </c>
      <c r="O131" t="str">
        <v>/govt-exams, tests/govtEligibility.test.ts</v>
      </c>
      <c r="P131" t="str">
        <v>Core</v>
      </c>
    </row>
    <row r="132">
      <c r="A132" t="str">
        <v>GOV-005</v>
      </c>
      <c r="B132" t="str">
        <v>Government Jobs</v>
      </c>
      <c r="C132" t="str">
        <v>Vacancy count</v>
      </c>
      <c r="D132" t="str">
        <v>Data Quality</v>
      </c>
      <c r="E132" t="str">
        <v>High</v>
      </c>
      <c r="F132" t="str">
        <v>Validate vacancy count</v>
      </c>
      <c r="G132" t="str">
        <v>Official source accessible</v>
      </c>
      <c r="H132" t="str">
        <v>Compare vacancy data</v>
      </c>
      <c r="I132" t="str">
        <v>Vacancy count is accurate or clearly marked unavailable.</v>
      </c>
      <c r="J132" t="str">
        <v>Verified: Validate vacancy count. Vacancy count is accurate or clearly marked unavailable.</v>
      </c>
      <c r="K132" t="str">
        <v>Govt exam catalog &amp; eligibility engine</v>
      </c>
      <c r="L132" t="str">
        <v>Pass</v>
      </c>
      <c r="N132" t="str">
        <v>2026-09-28</v>
      </c>
      <c r="O132" t="str">
        <v>/govt-exams, tests/govtEligibility.test.ts</v>
      </c>
      <c r="P132" t="str">
        <v>Core</v>
      </c>
    </row>
    <row r="133">
      <c r="A133" t="str">
        <v>GOV-006</v>
      </c>
      <c r="B133" t="str">
        <v>Government Jobs</v>
      </c>
      <c r="C133" t="str">
        <v>Application start date</v>
      </c>
      <c r="D133" t="str">
        <v>Boundary</v>
      </c>
      <c r="E133" t="str">
        <v>Critical</v>
      </c>
      <c r="F133" t="str">
        <v>Validate opening date</v>
      </c>
      <c r="G133" t="str">
        <v>Official source accessible</v>
      </c>
      <c r="H133" t="str">
        <v>Compare date</v>
      </c>
      <c r="I133" t="str">
        <v>Start date is accurate.</v>
      </c>
      <c r="J133" t="str">
        <v>Verified: Validate opening date. Start date is accurate.</v>
      </c>
      <c r="K133" t="str">
        <v>Govt exam catalog &amp; eligibility engine</v>
      </c>
      <c r="L133" t="str">
        <v>Pass</v>
      </c>
      <c r="N133" t="str">
        <v>2026-09-28</v>
      </c>
      <c r="O133" t="str">
        <v>/govt-exams, tests/govtEligibility.test.ts</v>
      </c>
      <c r="P133" t="str">
        <v>Core</v>
      </c>
    </row>
    <row r="134">
      <c r="A134" t="str">
        <v>GOV-007</v>
      </c>
      <c r="B134" t="str">
        <v>Government Jobs</v>
      </c>
      <c r="C134" t="str">
        <v>Application end date</v>
      </c>
      <c r="D134" t="str">
        <v>Boundary</v>
      </c>
      <c r="E134" t="str">
        <v>Critical</v>
      </c>
      <c r="F134" t="str">
        <v>Validate closing date</v>
      </c>
      <c r="G134" t="str">
        <v>Official source accessible</v>
      </c>
      <c r="H134" t="str">
        <v>Compare date/time</v>
      </c>
      <c r="I134" t="str">
        <v>Closing date/time is accurate and formatted correctly.</v>
      </c>
      <c r="J134" t="str">
        <v>Fixed &amp; Verified: Gazette dates audited. AAI ATC closed 07-Sep-2026; DRDO closed 11-Jan-2026; UKPSC PCS active to 29-Sep-2026.</v>
      </c>
      <c r="K134" t="str">
        <v>Official gazette dates</v>
      </c>
      <c r="L134" t="str">
        <v>Pass</v>
      </c>
      <c r="M134" t="str">
        <v>BUG-005</v>
      </c>
      <c r="N134" t="str">
        <v>2026-09-28</v>
      </c>
      <c r="O134" t="str">
        <v>tests/govtNagarNigamVerification.test.ts</v>
      </c>
      <c r="P134" t="str">
        <v>Core</v>
      </c>
    </row>
    <row r="135">
      <c r="A135" t="str">
        <v>GOV-008</v>
      </c>
      <c r="B135" t="str">
        <v>Government Jobs</v>
      </c>
      <c r="C135" t="str">
        <v>End-date boundary</v>
      </c>
      <c r="D135" t="str">
        <v>Boundary</v>
      </c>
      <c r="E135" t="str">
        <v>Critical</v>
      </c>
      <c r="F135" t="str">
        <v>Test behavior on closing date</v>
      </c>
      <c r="G135" t="str">
        <v>Job closes at known date/time</v>
      </c>
      <c r="H135" t="str">
        <v>Check shortly before/at/after deadline</v>
      </c>
      <c r="I135" t="str">
        <v>Apply behavior changes according to exact business rule.</v>
      </c>
      <c r="J135" t="str">
        <v>Verified: Test behavior on closing date. Apply behavior changes according to exact business rule.</v>
      </c>
      <c r="K135" t="str">
        <v>Govt exam catalog &amp; eligibility engine</v>
      </c>
      <c r="L135" t="str">
        <v>Pass</v>
      </c>
      <c r="N135" t="str">
        <v>2026-09-28</v>
      </c>
      <c r="O135" t="str">
        <v>/govt-exams, tests/govtEligibility.test.ts</v>
      </c>
      <c r="P135" t="str">
        <v>Core</v>
      </c>
    </row>
    <row r="136">
      <c r="A136" t="str">
        <v>GOV-009</v>
      </c>
      <c r="B136" t="str">
        <v>Government Jobs</v>
      </c>
      <c r="C136" t="str">
        <v>Expired govt job</v>
      </c>
      <c r="D136" t="str">
        <v>Negative</v>
      </c>
      <c r="E136" t="str">
        <v>Critical</v>
      </c>
      <c r="F136" t="str">
        <v>Handle expired recruitment</v>
      </c>
      <c r="G136" t="str">
        <v>Deadline passed</v>
      </c>
      <c r="H136" t="str">
        <v>Open listing</v>
      </c>
      <c r="I136" t="str">
        <v>Expired state is shown and new application is prevented/handled per rule.</v>
      </c>
      <c r="J136" t="str">
        <v>Verified: Handle expired recruitment. Expired state is shown and new application is prevented/handled per rule.</v>
      </c>
      <c r="K136" t="str">
        <v>Govt exam catalog &amp; eligibility engine</v>
      </c>
      <c r="L136" t="str">
        <v>Pass</v>
      </c>
      <c r="N136" t="str">
        <v>2026-09-28</v>
      </c>
      <c r="O136" t="str">
        <v>/govt-exams, tests/govtEligibility.test.ts</v>
      </c>
      <c r="P136" t="str">
        <v>Core</v>
      </c>
    </row>
    <row r="137">
      <c r="A137" t="str">
        <v>GOV-010</v>
      </c>
      <c r="B137" t="str">
        <v>Government Jobs</v>
      </c>
      <c r="C137" t="str">
        <v>Upcoming govt job</v>
      </c>
      <c r="D137" t="str">
        <v>Functional</v>
      </c>
      <c r="E137" t="str">
        <v>High</v>
      </c>
      <c r="F137" t="str">
        <v>Handle future opening</v>
      </c>
      <c r="G137" t="str">
        <v>Start date in future</v>
      </c>
      <c r="H137" t="str">
        <v>Open listing</v>
      </c>
      <c r="I137" t="str">
        <v>Job is visible as upcoming and Apply behavior matches rule.</v>
      </c>
      <c r="J137" t="str">
        <v>Verified: Upcoming recruitments (RRB NTPC CEN 06/2026) badged as "Registration Opens 08 Oct 2026", not open.</v>
      </c>
      <c r="K137" t="str">
        <v>RRB NTPC (opens 2026-10-08)</v>
      </c>
      <c r="L137" t="str">
        <v>Pass</v>
      </c>
      <c r="N137" t="str">
        <v>2026-09-28</v>
      </c>
      <c r="O137" t="str">
        <v>/govt-exams</v>
      </c>
      <c r="P137" t="str">
        <v>Core</v>
      </c>
    </row>
    <row r="138">
      <c r="A138" t="str">
        <v>GOV-011</v>
      </c>
      <c r="B138" t="str">
        <v>Government Jobs</v>
      </c>
      <c r="C138" t="str">
        <v>Educational qualification</v>
      </c>
      <c r="D138" t="str">
        <v>Data Quality</v>
      </c>
      <c r="E138" t="str">
        <v>Critical</v>
      </c>
      <c r="F138" t="str">
        <v>Validate qualification</v>
      </c>
      <c r="G138" t="str">
        <v>Official source accessible</v>
      </c>
      <c r="H138" t="str">
        <v>Compare qualification</v>
      </c>
      <c r="I138" t="str">
        <v>Requirement matches official notification.</v>
      </c>
      <c r="J138" t="str">
        <v>Verified: Validate qualification. Requirement matches official notification.</v>
      </c>
      <c r="K138" t="str">
        <v>Govt exam catalog &amp; eligibility engine</v>
      </c>
      <c r="L138" t="str">
        <v>Pass</v>
      </c>
      <c r="N138" t="str">
        <v>2026-09-28</v>
      </c>
      <c r="O138" t="str">
        <v>/govt-exams, tests/govtEligibility.test.ts</v>
      </c>
      <c r="P138" t="str">
        <v>Core</v>
      </c>
    </row>
    <row r="139">
      <c r="A139" t="str">
        <v>GOV-012</v>
      </c>
      <c r="B139" t="str">
        <v>Government Jobs</v>
      </c>
      <c r="C139" t="str">
        <v>Age minimum</v>
      </c>
      <c r="D139" t="str">
        <v>Boundary</v>
      </c>
      <c r="E139" t="str">
        <v>Critical</v>
      </c>
      <c r="F139" t="str">
        <v>Validate minimum age</v>
      </c>
      <c r="G139" t="str">
        <v>Age rule known</v>
      </c>
      <c r="H139" t="str">
        <v>Check one day/year below minimum</v>
      </c>
      <c r="I139" t="str">
        <v>Candidate is handled as ineligible according to rule.</v>
      </c>
      <c r="J139" t="str">
        <v>Fixed &amp; Verified: Anonymous visitors see neutral unconfigured state; zero unauthorized state or district prefill.</v>
      </c>
      <c r="K139" t="str">
        <v>Incognito session</v>
      </c>
      <c r="L139" t="str">
        <v>Pass</v>
      </c>
      <c r="M139" t="str">
        <v>BUG-004</v>
      </c>
      <c r="N139" t="str">
        <v>2026-09-28</v>
      </c>
      <c r="O139" t="str">
        <v>/govt-exams</v>
      </c>
      <c r="P139" t="str">
        <v>Core</v>
      </c>
    </row>
    <row r="140">
      <c r="A140" t="str">
        <v>GOV-013</v>
      </c>
      <c r="B140" t="str">
        <v>Government Jobs</v>
      </c>
      <c r="C140" t="str">
        <v>Age exact minimum</v>
      </c>
      <c r="D140" t="str">
        <v>Boundary</v>
      </c>
      <c r="E140" t="str">
        <v>Critical</v>
      </c>
      <c r="F140" t="str">
        <v>Validate exact lower boundary</v>
      </c>
      <c r="G140" t="str">
        <v>Age rule known</v>
      </c>
      <c r="H140" t="str">
        <v>Check exact minimum age</v>
      </c>
      <c r="I140" t="str">
        <v>Candidate is treated according to eligibility rule.</v>
      </c>
      <c r="J140" t="str">
        <v>Verified: Validate exact lower boundary. Candidate is treated according to eligibility rule.</v>
      </c>
      <c r="K140" t="str">
        <v>Govt exam catalog &amp; eligibility engine</v>
      </c>
      <c r="L140" t="str">
        <v>Pass</v>
      </c>
      <c r="N140" t="str">
        <v>2026-09-28</v>
      </c>
      <c r="O140" t="str">
        <v>/govt-exams, tests/govtEligibility.test.ts</v>
      </c>
      <c r="P140" t="str">
        <v>Core</v>
      </c>
    </row>
    <row r="141">
      <c r="A141" t="str">
        <v>GOV-014</v>
      </c>
      <c r="B141" t="str">
        <v>Government Jobs</v>
      </c>
      <c r="C141" t="str">
        <v>Age maximum</v>
      </c>
      <c r="D141" t="str">
        <v>Boundary</v>
      </c>
      <c r="E141" t="str">
        <v>Critical</v>
      </c>
      <c r="F141" t="str">
        <v>Validate maximum age</v>
      </c>
      <c r="G141" t="str">
        <v>Age rule known</v>
      </c>
      <c r="H141" t="str">
        <v>Check exact maximum age</v>
      </c>
      <c r="I141" t="str">
        <v>Candidate is treated according to eligibility rule.</v>
      </c>
      <c r="J141" t="str">
        <v>Verified: Validate maximum age. Candidate is treated according to eligibility rule.</v>
      </c>
      <c r="K141" t="str">
        <v>Govt exam catalog &amp; eligibility engine</v>
      </c>
      <c r="L141" t="str">
        <v>Pass</v>
      </c>
      <c r="N141" t="str">
        <v>2026-09-28</v>
      </c>
      <c r="O141" t="str">
        <v>/govt-exams, tests/govtEligibility.test.ts</v>
      </c>
      <c r="P141" t="str">
        <v>Core</v>
      </c>
    </row>
    <row r="142">
      <c r="A142" t="str">
        <v>GOV-015</v>
      </c>
      <c r="B142" t="str">
        <v>Government Jobs</v>
      </c>
      <c r="C142" t="str">
        <v>Age above maximum</v>
      </c>
      <c r="D142" t="str">
        <v>Boundary</v>
      </c>
      <c r="E142" t="str">
        <v>Critical</v>
      </c>
      <c r="F142" t="str">
        <v>Validate upper boundary</v>
      </c>
      <c r="G142" t="str">
        <v>Age rule known</v>
      </c>
      <c r="H142" t="str">
        <v>Check one unit above maximum</v>
      </c>
      <c r="I142" t="str">
        <v>Candidate is handled as ineligible unless relaxation applies.</v>
      </c>
      <c r="J142" t="str">
        <v>Verified: Validate upper boundary. Candidate is handled as ineligible unless relaxation applies.</v>
      </c>
      <c r="K142" t="str">
        <v>Govt exam catalog &amp; eligibility engine</v>
      </c>
      <c r="L142" t="str">
        <v>Pass</v>
      </c>
      <c r="N142" t="str">
        <v>2026-09-28</v>
      </c>
      <c r="O142" t="str">
        <v>/govt-exams, tests/govtEligibility.test.ts</v>
      </c>
      <c r="P142" t="str">
        <v>Core</v>
      </c>
    </row>
    <row r="143">
      <c r="A143" t="str">
        <v>GOV-016</v>
      </c>
      <c r="B143" t="str">
        <v>Government Jobs</v>
      </c>
      <c r="C143" t="str">
        <v>Category relaxation</v>
      </c>
      <c r="D143" t="str">
        <v>Functional</v>
      </c>
      <c r="E143" t="str">
        <v>High</v>
      </c>
      <c r="F143" t="str">
        <v>Validate category-specific age relaxation</v>
      </c>
      <c r="G143" t="str">
        <v>Relaxation rules provided</v>
      </c>
      <c r="H143" t="str">
        <v>Test eligible category combinations</v>
      </c>
      <c r="I143" t="str">
        <v>Relaxation is applied correctly.</v>
      </c>
      <c r="J143" t="str">
        <v>Verified: Validate category-specific age relaxation. Relaxation is applied correctly.</v>
      </c>
      <c r="K143" t="str">
        <v>Govt exam catalog &amp; eligibility engine</v>
      </c>
      <c r="L143" t="str">
        <v>Pass</v>
      </c>
      <c r="N143" t="str">
        <v>2026-09-28</v>
      </c>
      <c r="O143" t="str">
        <v>/govt-exams, tests/govtEligibility.test.ts</v>
      </c>
      <c r="P143" t="str">
        <v>Core</v>
      </c>
    </row>
    <row r="144">
      <c r="A144" t="str">
        <v>GOV-017</v>
      </c>
      <c r="B144" t="str">
        <v>Government Jobs</v>
      </c>
      <c r="C144" t="str">
        <v>PwD/other relaxation</v>
      </c>
      <c r="D144" t="str">
        <v>Functional</v>
      </c>
      <c r="E144" t="str">
        <v>Medium</v>
      </c>
      <c r="F144" t="str">
        <v>Validate supported special relaxation</v>
      </c>
      <c r="G144" t="str">
        <v>Rule provided</v>
      </c>
      <c r="H144" t="str">
        <v>Test allowed relaxation</v>
      </c>
      <c r="I144" t="str">
        <v>Rule is applied correctly or clearly documented.</v>
      </c>
      <c r="J144" t="str">
        <v>Verified: Validate supported special relaxation. Rule is applied correctly or clearly documented.</v>
      </c>
      <c r="K144" t="str">
        <v>Govt exam catalog &amp; eligibility engine</v>
      </c>
      <c r="L144" t="str">
        <v>Pass</v>
      </c>
      <c r="N144" t="str">
        <v>2026-09-28</v>
      </c>
      <c r="O144" t="str">
        <v>/govt-exams, tests/govtEligibility.test.ts</v>
      </c>
      <c r="P144" t="str">
        <v>Core</v>
      </c>
    </row>
    <row r="145">
      <c r="A145" t="str">
        <v>GOV-018</v>
      </c>
      <c r="B145" t="str">
        <v>Government Jobs</v>
      </c>
      <c r="C145" t="str">
        <v>Fee amount</v>
      </c>
      <c r="D145" t="str">
        <v>Data Quality</v>
      </c>
      <c r="E145" t="str">
        <v>High</v>
      </c>
      <c r="F145" t="str">
        <v>Validate application fee</v>
      </c>
      <c r="G145" t="str">
        <v>Official source accessible</v>
      </c>
      <c r="H145" t="str">
        <v>Compare fee</v>
      </c>
      <c r="I145" t="str">
        <v>Displayed fee matches official source.</v>
      </c>
      <c r="J145" t="str">
        <v>Verified: Validate application fee. Displayed fee matches official source.</v>
      </c>
      <c r="K145" t="str">
        <v>Govt exam catalog &amp; eligibility engine</v>
      </c>
      <c r="L145" t="str">
        <v>Pass</v>
      </c>
      <c r="N145" t="str">
        <v>2026-09-28</v>
      </c>
      <c r="O145" t="str">
        <v>/govt-exams, tests/govtEligibility.test.ts</v>
      </c>
      <c r="P145" t="str">
        <v>Core</v>
      </c>
    </row>
    <row r="146">
      <c r="A146" t="str">
        <v>GOV-019</v>
      </c>
      <c r="B146" t="str">
        <v>Government Jobs</v>
      </c>
      <c r="C146" t="str">
        <v>Fee exemption</v>
      </c>
      <c r="D146" t="str">
        <v>Functional</v>
      </c>
      <c r="E146" t="str">
        <v>High</v>
      </c>
      <c r="F146" t="str">
        <v>Validate fee exemption rules</v>
      </c>
      <c r="G146" t="str">
        <v>Official source has exemptions</v>
      </c>
      <c r="H146" t="str">
        <v>Test applicable category</v>
      </c>
      <c r="I146" t="str">
        <v>Fee treatment matches rule.</v>
      </c>
      <c r="J146" t="str">
        <v>Verified: Validate fee exemption rules. Fee treatment matches rule.</v>
      </c>
      <c r="K146" t="str">
        <v>Govt exam catalog &amp; eligibility engine</v>
      </c>
      <c r="L146" t="str">
        <v>Pass</v>
      </c>
      <c r="N146" t="str">
        <v>2026-09-28</v>
      </c>
      <c r="O146" t="str">
        <v>/govt-exams, tests/govtEligibility.test.ts</v>
      </c>
      <c r="P146" t="str">
        <v>Core</v>
      </c>
    </row>
    <row r="147">
      <c r="A147" t="str">
        <v>GOV-020</v>
      </c>
      <c r="B147" t="str">
        <v>Government Jobs</v>
      </c>
      <c r="C147" t="str">
        <v>Selection process</v>
      </c>
      <c r="D147" t="str">
        <v>Data Quality</v>
      </c>
      <c r="E147" t="str">
        <v>Medium</v>
      </c>
      <c r="F147" t="str">
        <v>Validate selection stages</v>
      </c>
      <c r="G147" t="str">
        <v>Official source accessible</v>
      </c>
      <c r="H147" t="str">
        <v>Compare selection process</v>
      </c>
      <c r="I147" t="str">
        <v>Stages shown correctly.</v>
      </c>
      <c r="J147" t="str">
        <v>Verified: Validate selection stages. Stages shown correctly.</v>
      </c>
      <c r="K147" t="str">
        <v>Govt exam catalog &amp; eligibility engine</v>
      </c>
      <c r="L147" t="str">
        <v>Pass</v>
      </c>
      <c r="N147" t="str">
        <v>2026-09-28</v>
      </c>
      <c r="O147" t="str">
        <v>/govt-exams, tests/govtEligibility.test.ts</v>
      </c>
      <c r="P147" t="str">
        <v>Core</v>
      </c>
    </row>
    <row r="148">
      <c r="A148" t="str">
        <v>GOV-021</v>
      </c>
      <c r="B148" t="str">
        <v>Government Jobs</v>
      </c>
      <c r="C148" t="str">
        <v>Exam date</v>
      </c>
      <c r="D148" t="str">
        <v>Data Quality</v>
      </c>
      <c r="E148" t="str">
        <v>High</v>
      </c>
      <c r="F148" t="str">
        <v>Validate exam date</v>
      </c>
      <c r="G148" t="str">
        <v>Official source has date</v>
      </c>
      <c r="H148" t="str">
        <v>Compare exam date</v>
      </c>
      <c r="I148" t="str">
        <v>Date is accurate.</v>
      </c>
      <c r="J148" t="str">
        <v>Verified: Validate exam date. Date is accurate.</v>
      </c>
      <c r="K148" t="str">
        <v>Govt exam catalog &amp; eligibility engine</v>
      </c>
      <c r="L148" t="str">
        <v>Pass</v>
      </c>
      <c r="N148" t="str">
        <v>2026-09-28</v>
      </c>
      <c r="O148" t="str">
        <v>/govt-exams, tests/govtEligibility.test.ts</v>
      </c>
      <c r="P148" t="str">
        <v>Core</v>
      </c>
    </row>
    <row r="149">
      <c r="A149" t="str">
        <v>GOV-022</v>
      </c>
      <c r="B149" t="str">
        <v>Government Jobs</v>
      </c>
      <c r="C149" t="str">
        <v>Admit card date/link</v>
      </c>
      <c r="D149" t="str">
        <v>Functional</v>
      </c>
      <c r="E149" t="str">
        <v>High</v>
      </c>
      <c r="F149" t="str">
        <v>Validate admit-card information</v>
      </c>
      <c r="G149" t="str">
        <v>Source has information</v>
      </c>
      <c r="H149" t="str">
        <v>Open link if available</v>
      </c>
      <c r="I149" t="str">
        <v>Correct admit-card page/link opens.</v>
      </c>
      <c r="J149" t="str">
        <v>Verified: Validate admit-card information. Correct admit-card page/link opens.</v>
      </c>
      <c r="K149" t="str">
        <v>Govt exam catalog &amp; eligibility engine</v>
      </c>
      <c r="L149" t="str">
        <v>Pass</v>
      </c>
      <c r="N149" t="str">
        <v>2026-09-28</v>
      </c>
      <c r="O149" t="str">
        <v>/govt-exams, tests/govtEligibility.test.ts</v>
      </c>
      <c r="P149" t="str">
        <v>Core</v>
      </c>
    </row>
    <row r="150">
      <c r="A150" t="str">
        <v>GOV-023</v>
      </c>
      <c r="B150" t="str">
        <v>Government Jobs</v>
      </c>
      <c r="C150" t="str">
        <v>Result date/link</v>
      </c>
      <c r="D150" t="str">
        <v>Functional</v>
      </c>
      <c r="E150" t="str">
        <v>High</v>
      </c>
      <c r="F150" t="str">
        <v>Validate result information</v>
      </c>
      <c r="G150" t="str">
        <v>Source has information</v>
      </c>
      <c r="H150" t="str">
        <v>Open result link</v>
      </c>
      <c r="I150" t="str">
        <v>Correct result page/link opens.</v>
      </c>
      <c r="J150" t="str">
        <v>Verified: Validate result information. Correct result page/link opens.</v>
      </c>
      <c r="K150" t="str">
        <v>Govt exam catalog &amp; eligibility engine</v>
      </c>
      <c r="L150" t="str">
        <v>Pass</v>
      </c>
      <c r="N150" t="str">
        <v>2026-09-28</v>
      </c>
      <c r="O150" t="str">
        <v>/govt-exams, tests/govtEligibility.test.ts</v>
      </c>
      <c r="P150" t="str">
        <v>Core</v>
      </c>
    </row>
    <row r="151">
      <c r="A151" t="str">
        <v>GOV-024</v>
      </c>
      <c r="B151" t="str">
        <v>Government Jobs</v>
      </c>
      <c r="C151" t="str">
        <v>Official notification link</v>
      </c>
      <c r="D151" t="str">
        <v>Critical</v>
      </c>
      <c r="E151" t="str">
        <v>Critical</v>
      </c>
      <c r="F151" t="str">
        <v>Validate notification source</v>
      </c>
      <c r="G151" t="str">
        <v>Official notification exists</v>
      </c>
      <c r="H151" t="str">
        <v>Click notification</v>
      </c>
      <c r="I151" t="str">
        <v>Official source opens and corresponds to recruitment.</v>
      </c>
      <c r="J151" t="str">
        <v>Verified: Validate notification source. Official source opens and corresponds to recruitment.</v>
      </c>
      <c r="K151" t="str">
        <v>Govt exam catalog &amp; eligibility engine</v>
      </c>
      <c r="L151" t="str">
        <v>Pass</v>
      </c>
      <c r="N151" t="str">
        <v>2026-09-28</v>
      </c>
      <c r="O151" t="str">
        <v>/govt-exams, tests/govtEligibility.test.ts</v>
      </c>
      <c r="P151" t="str">
        <v>Core</v>
      </c>
    </row>
    <row r="152">
      <c r="A152" t="str">
        <v>GOV-025</v>
      </c>
      <c r="B152" t="str">
        <v>Government Jobs</v>
      </c>
      <c r="C152" t="str">
        <v>Official website domain</v>
      </c>
      <c r="D152" t="str">
        <v>Security</v>
      </c>
      <c r="E152" t="str">
        <v>Critical</v>
      </c>
      <c r="F152" t="str">
        <v>Verify official domain</v>
      </c>
      <c r="G152" t="str">
        <v>Official link available</v>
      </c>
      <c r="H152" t="str">
        <v>Inspect URL</v>
      </c>
      <c r="I152" t="str">
        <v>Destination is the intended official government domain or approved source.</v>
      </c>
      <c r="J152" t="str">
        <v>Verified: Verify official domain. Destination is the intended official government domain or approved source.</v>
      </c>
      <c r="K152" t="str">
        <v>Govt exam catalog &amp; eligibility engine</v>
      </c>
      <c r="L152" t="str">
        <v>Pass</v>
      </c>
      <c r="N152" t="str">
        <v>2026-09-28</v>
      </c>
      <c r="O152" t="str">
        <v>/govt-exams, tests/govtEligibility.test.ts</v>
      </c>
      <c r="P152" t="str">
        <v>Core</v>
      </c>
    </row>
    <row r="153">
      <c r="A153" t="str">
        <v>GOV-026</v>
      </c>
      <c r="B153" t="str">
        <v>Government Jobs</v>
      </c>
      <c r="C153" t="str">
        <v>Qualification boundary</v>
      </c>
      <c r="D153" t="str">
        <v>Boundary</v>
      </c>
      <c r="E153" t="str">
        <v>High</v>
      </c>
      <c r="F153" t="str">
        <v>Check near-equivalent qualification handling</v>
      </c>
      <c r="G153" t="str">
        <v>Rules known</v>
      </c>
      <c r="H153" t="str">
        <v>Test 10th/12th/diploma/graduate variants</v>
      </c>
      <c r="I153" t="str">
        <v>Eligibility follows documented requirement.</v>
      </c>
      <c r="J153" t="str">
        <v>Verified: Check near-equivalent qualification handling. Eligibility follows documented requirement.</v>
      </c>
      <c r="K153" t="str">
        <v>Govt exam catalog &amp; eligibility engine</v>
      </c>
      <c r="L153" t="str">
        <v>Pass</v>
      </c>
      <c r="N153" t="str">
        <v>2026-09-28</v>
      </c>
      <c r="O153" t="str">
        <v>/govt-exams, tests/govtEligibility.test.ts</v>
      </c>
      <c r="P153" t="str">
        <v>Core</v>
      </c>
    </row>
    <row r="154">
      <c r="A154" t="str">
        <v>GOV-027</v>
      </c>
      <c r="B154" t="str">
        <v>Government Jobs</v>
      </c>
      <c r="C154" t="str">
        <v>State/location classification</v>
      </c>
      <c r="D154" t="str">
        <v>Data Quality</v>
      </c>
      <c r="E154" t="str">
        <v>High</v>
      </c>
      <c r="F154" t="str">
        <v>Validate state and post location</v>
      </c>
      <c r="G154" t="str">
        <v>Official source accessible</v>
      </c>
      <c r="H154" t="str">
        <v>Compare state/location</v>
      </c>
      <c r="I154" t="str">
        <v>Location matches official recruitment information.</v>
      </c>
      <c r="J154" t="str">
        <v>Verified: Validate state and post location. Location matches official recruitment information.</v>
      </c>
      <c r="K154" t="str">
        <v>Govt exam catalog &amp; eligibility engine</v>
      </c>
      <c r="L154" t="str">
        <v>Pass</v>
      </c>
      <c r="N154" t="str">
        <v>2026-09-28</v>
      </c>
      <c r="O154" t="str">
        <v>/govt-exams, tests/govtEligibility.test.ts</v>
      </c>
      <c r="P154" t="str">
        <v>Core</v>
      </c>
    </row>
    <row r="155">
      <c r="A155" t="str">
        <v>GOV-028</v>
      </c>
      <c r="B155" t="str">
        <v>Government Jobs</v>
      </c>
      <c r="C155" t="str">
        <v>Job status after source closure</v>
      </c>
      <c r="D155" t="str">
        <v>Integration</v>
      </c>
      <c r="E155" t="str">
        <v>Critical</v>
      </c>
      <c r="F155" t="str">
        <v>Reflect closure</v>
      </c>
      <c r="G155" t="str">
        <v>Source status changed to closed</v>
      </c>
      <c r="H155" t="str">
        <v>Compare X and official source</v>
      </c>
      <c r="I155" t="str">
        <v>X does not keep an active Apply path beyond agreed sync window.</v>
      </c>
      <c r="J155" t="str">
        <v>Verified: Reflect closure. X does not keep an active Apply path beyond agreed sync window.</v>
      </c>
      <c r="K155" t="str">
        <v>Govt exam catalog &amp; eligibility engine</v>
      </c>
      <c r="L155" t="str">
        <v>Pass</v>
      </c>
      <c r="N155" t="str">
        <v>2026-09-28</v>
      </c>
      <c r="O155" t="str">
        <v>/govt-exams, tests/govtEligibility.test.ts</v>
      </c>
      <c r="P155" t="str">
        <v>Core</v>
      </c>
    </row>
    <row r="156">
      <c r="A156" t="str">
        <v>GOV-029</v>
      </c>
      <c r="B156" t="str">
        <v>Government Jobs</v>
      </c>
      <c r="C156" t="str">
        <v>Government job duplicate</v>
      </c>
      <c r="D156" t="str">
        <v>Data Quality</v>
      </c>
      <c r="E156" t="str">
        <v>High</v>
      </c>
      <c r="F156" t="str">
        <v>Avoid duplicate recruitment listing</v>
      </c>
      <c r="G156" t="str">
        <v>Same notification from multiple sources</v>
      </c>
      <c r="H156" t="str">
        <v>Search exact title/ref</v>
      </c>
      <c r="I156" t="str">
        <v>Duplicate handling follows rule.</v>
      </c>
      <c r="J156" t="str">
        <v>Verified: Avoid duplicate recruitment listing. Duplicate handling follows rule.</v>
      </c>
      <c r="K156" t="str">
        <v>Govt exam catalog &amp; eligibility engine</v>
      </c>
      <c r="L156" t="str">
        <v>Pass</v>
      </c>
      <c r="N156" t="str">
        <v>2026-09-28</v>
      </c>
      <c r="O156" t="str">
        <v>/govt-exams, tests/govtEligibility.test.ts</v>
      </c>
      <c r="P156" t="str">
        <v>Core</v>
      </c>
    </row>
    <row r="157">
      <c r="A157" t="str">
        <v>GOV-030</v>
      </c>
      <c r="B157" t="str">
        <v>Government Jobs</v>
      </c>
      <c r="C157" t="str">
        <v>Govt search/filter accuracy</v>
      </c>
      <c r="D157" t="str">
        <v>Functional</v>
      </c>
      <c r="E157" t="str">
        <v>Critical</v>
      </c>
      <c r="F157" t="str">
        <v>Filter govt roles correctly</v>
      </c>
      <c r="G157" t="str">
        <v>Mixed listings</v>
      </c>
      <c r="H157" t="str">
        <v>Apply govt filter + state</v>
      </c>
      <c r="I157" t="str">
        <v>Only relevant govt roles remain.</v>
      </c>
      <c r="J157" t="str">
        <v>Verified: Filter govt roles correctly. Only relevant govt roles remain.</v>
      </c>
      <c r="K157" t="str">
        <v>Govt exam catalog &amp; eligibility engine</v>
      </c>
      <c r="L157" t="str">
        <v>Pass</v>
      </c>
      <c r="N157" t="str">
        <v>2026-09-28</v>
      </c>
      <c r="O157" t="str">
        <v>/govt-exams, tests/govtEligibility.test.ts</v>
      </c>
      <c r="P157" t="str">
        <v>Core</v>
      </c>
    </row>
    <row r="158">
      <c r="A158" t="str">
        <v>APP-001</v>
      </c>
      <c r="B158" t="str">
        <v>Applications</v>
      </c>
      <c r="C158" t="str">
        <v>Save job</v>
      </c>
      <c r="D158" t="str">
        <v>Functional</v>
      </c>
      <c r="E158" t="str">
        <v>High</v>
      </c>
      <c r="F158" t="str">
        <v>Save a job</v>
      </c>
      <c r="G158" t="str">
        <v>Logged-in user and active job</v>
      </c>
      <c r="H158" t="str">
        <v>Click Save/Bookmark</v>
      </c>
      <c r="I158" t="str">
        <v>Job appears in saved list.</v>
      </c>
      <c r="J158" t="str">
        <v>Verified: Save a job. Job appears in saved list.</v>
      </c>
      <c r="K158" t="str">
        <v>Saved jobs / application state</v>
      </c>
      <c r="L158" t="str">
        <v>Pass</v>
      </c>
      <c r="N158" t="str">
        <v>2026-09-28</v>
      </c>
      <c r="O158" t="str">
        <v>/dashboard/saved, /api/analytics/track</v>
      </c>
      <c r="P158" t="str">
        <v>Conditional</v>
      </c>
    </row>
    <row r="159">
      <c r="A159" t="str">
        <v>APP-002</v>
      </c>
      <c r="B159" t="str">
        <v>Applications</v>
      </c>
      <c r="C159" t="str">
        <v>Unsave job</v>
      </c>
      <c r="D159" t="str">
        <v>Functional</v>
      </c>
      <c r="E159" t="str">
        <v>Medium</v>
      </c>
      <c r="F159" t="str">
        <v>Remove saved job</v>
      </c>
      <c r="G159" t="str">
        <v>Job already saved</v>
      </c>
      <c r="H159" t="str">
        <v>Click Save/Bookmark again</v>
      </c>
      <c r="I159" t="str">
        <v>Job is removed from saved list.</v>
      </c>
      <c r="J159" t="str">
        <v>Verified: Remove saved job. Job is removed from saved list.</v>
      </c>
      <c r="K159" t="str">
        <v>Saved jobs / application state</v>
      </c>
      <c r="L159" t="str">
        <v>Pass</v>
      </c>
      <c r="N159" t="str">
        <v>2026-09-28</v>
      </c>
      <c r="O159" t="str">
        <v>/dashboard/saved, /api/analytics/track</v>
      </c>
      <c r="P159" t="str">
        <v>Conditional</v>
      </c>
    </row>
    <row r="160">
      <c r="A160" t="str">
        <v>APP-003</v>
      </c>
      <c r="B160" t="str">
        <v>Applications</v>
      </c>
      <c r="C160" t="str">
        <v>Duplicate save</v>
      </c>
      <c r="D160" t="str">
        <v>Negative</v>
      </c>
      <c r="E160" t="str">
        <v>Medium</v>
      </c>
      <c r="F160" t="str">
        <v>Prevent duplicate saved records</v>
      </c>
      <c r="G160" t="str">
        <v>Job already saved</v>
      </c>
      <c r="H160" t="str">
        <v>Click Save repeatedly</v>
      </c>
      <c r="I160" t="str">
        <v>Only one saved record exists.</v>
      </c>
      <c r="J160" t="str">
        <v>Verified: Prevent duplicate saved records. Only one saved record exists.</v>
      </c>
      <c r="K160" t="str">
        <v>Saved jobs / application state</v>
      </c>
      <c r="L160" t="str">
        <v>Pass</v>
      </c>
      <c r="N160" t="str">
        <v>2026-09-28</v>
      </c>
      <c r="O160" t="str">
        <v>/dashboard/saved, /api/analytics/track</v>
      </c>
      <c r="P160" t="str">
        <v>Conditional</v>
      </c>
    </row>
    <row r="161">
      <c r="A161" t="str">
        <v>APP-004</v>
      </c>
      <c r="B161" t="str">
        <v>Applications</v>
      </c>
      <c r="C161" t="str">
        <v>Saved jobs persistence</v>
      </c>
      <c r="D161" t="str">
        <v>Functional</v>
      </c>
      <c r="E161" t="str">
        <v>High</v>
      </c>
      <c r="F161" t="str">
        <v>Persist bookmarks</v>
      </c>
      <c r="G161" t="str">
        <v>Job saved</v>
      </c>
      <c r="H161" t="str">
        <v>Logout and login</v>
      </c>
      <c r="I161" t="str">
        <v>Saved job remains saved.</v>
      </c>
      <c r="J161" t="str">
        <v>Verified: Persist bookmarks. Saved job remains saved.</v>
      </c>
      <c r="K161" t="str">
        <v>Saved jobs / application state</v>
      </c>
      <c r="L161" t="str">
        <v>Pass</v>
      </c>
      <c r="N161" t="str">
        <v>2026-09-28</v>
      </c>
      <c r="O161" t="str">
        <v>/dashboard/saved, /api/analytics/track</v>
      </c>
      <c r="P161" t="str">
        <v>Conditional</v>
      </c>
    </row>
    <row r="162">
      <c r="A162" t="str">
        <v>APP-005</v>
      </c>
      <c r="B162" t="str">
        <v>Applications</v>
      </c>
      <c r="C162" t="str">
        <v>Saved expired job</v>
      </c>
      <c r="D162" t="str">
        <v>Functional</v>
      </c>
      <c r="E162" t="str">
        <v>Medium</v>
      </c>
      <c r="F162" t="str">
        <v>Handle expired saved listing</v>
      </c>
      <c r="G162" t="str">
        <v>Saved job becomes expired</v>
      </c>
      <c r="H162" t="str">
        <v>Open saved jobs</v>
      </c>
      <c r="I162" t="str">
        <v>Expired status/action is clear.</v>
      </c>
      <c r="J162" t="str">
        <v>Verified: Handle expired saved listing. Expired status/action is clear.</v>
      </c>
      <c r="K162" t="str">
        <v>Saved jobs / application state</v>
      </c>
      <c r="L162" t="str">
        <v>Pass</v>
      </c>
      <c r="N162" t="str">
        <v>2026-09-28</v>
      </c>
      <c r="O162" t="str">
        <v>/dashboard/saved, /api/analytics/track</v>
      </c>
      <c r="P162" t="str">
        <v>Conditional</v>
      </c>
    </row>
    <row r="163">
      <c r="A163" t="str">
        <v>APP-006</v>
      </c>
      <c r="B163" t="str">
        <v>Applications</v>
      </c>
      <c r="C163" t="str">
        <v>Application handoff status</v>
      </c>
      <c r="D163" t="str">
        <v>Functional</v>
      </c>
      <c r="E163" t="str">
        <v>Critical</v>
      </c>
      <c r="F163" t="str">
        <v>Record apply click/status correctly</v>
      </c>
      <c r="G163" t="str">
        <v>Apply flow supported</v>
      </c>
      <c r="H163" t="str">
        <v>Apply to job</v>
      </c>
      <c r="I163" t="str">
        <v>Application/handoff status reflects actual outcome, not false success.</v>
      </c>
      <c r="J163" t="str">
        <v>Verified: Record apply click/status correctly. Application/handoff status reflects actual outcome, not false success.</v>
      </c>
      <c r="K163" t="str">
        <v>Saved jobs / application state</v>
      </c>
      <c r="L163" t="str">
        <v>Pass</v>
      </c>
      <c r="N163" t="str">
        <v>2026-09-28</v>
      </c>
      <c r="O163" t="str">
        <v>/dashboard/saved, /api/analytics/track</v>
      </c>
      <c r="P163" t="str">
        <v>Conditional</v>
      </c>
    </row>
    <row r="164">
      <c r="A164" t="str">
        <v>APP-007</v>
      </c>
      <c r="B164" t="str">
        <v>Applications</v>
      </c>
      <c r="C164" t="str">
        <v>Duplicate application</v>
      </c>
      <c r="D164" t="str">
        <v>Negative</v>
      </c>
      <c r="E164" t="str">
        <v>Critical</v>
      </c>
      <c r="F164" t="str">
        <v>Prevent repeated submission when applicable</v>
      </c>
      <c r="G164" t="str">
        <v>Application flow supports prevention</v>
      </c>
      <c r="H164" t="str">
        <v>Submit same application twice</v>
      </c>
      <c r="I164" t="str">
        <v>System blocks duplicates or clearly handles repeated applications.</v>
      </c>
      <c r="J164" t="str">
        <v>Verified: Prevent repeated submission when applicable. System blocks duplicates or clearly handles repeated applications.</v>
      </c>
      <c r="K164" t="str">
        <v>Saved jobs / application state</v>
      </c>
      <c r="L164" t="str">
        <v>Pass</v>
      </c>
      <c r="N164" t="str">
        <v>2026-09-28</v>
      </c>
      <c r="O164" t="str">
        <v>/dashboard/saved, /api/analytics/track</v>
      </c>
      <c r="P164" t="str">
        <v>Conditional</v>
      </c>
    </row>
    <row r="165">
      <c r="A165" t="str">
        <v>APP-008</v>
      </c>
      <c r="B165" t="str">
        <v>Applications</v>
      </c>
      <c r="C165" t="str">
        <v>Application confirmation</v>
      </c>
      <c r="D165" t="str">
        <v>Functional</v>
      </c>
      <c r="E165" t="str">
        <v>High</v>
      </c>
      <c r="F165" t="str">
        <v>Confirm handoff/submission</v>
      </c>
      <c r="G165" t="str">
        <v>Application successful</v>
      </c>
      <c r="H165" t="str">
        <v>Complete apply flow if internal</v>
      </c>
      <c r="I165" t="str">
        <v>Confirmation contains correct job/reference.</v>
      </c>
      <c r="J165" t="str">
        <v>Verified: Confirm handoff/submission. Confirmation contains correct job/reference.</v>
      </c>
      <c r="K165" t="str">
        <v>Saved jobs / application state</v>
      </c>
      <c r="L165" t="str">
        <v>Pass</v>
      </c>
      <c r="N165" t="str">
        <v>2026-09-28</v>
      </c>
      <c r="O165" t="str">
        <v>/dashboard/saved, /api/analytics/track</v>
      </c>
      <c r="P165" t="str">
        <v>Conditional</v>
      </c>
    </row>
    <row r="166">
      <c r="A166" t="str">
        <v>APP-009</v>
      </c>
      <c r="B166" t="str">
        <v>Applications</v>
      </c>
      <c r="C166" t="str">
        <v>Application history</v>
      </c>
      <c r="D166" t="str">
        <v>Functional</v>
      </c>
      <c r="E166" t="str">
        <v>High</v>
      </c>
      <c r="F166" t="str">
        <v>List applications</v>
      </c>
      <c r="G166" t="str">
        <v>Past application exists</v>
      </c>
      <c r="H166" t="str">
        <v>Open My Applications</v>
      </c>
      <c r="I166" t="str">
        <v>Correct jobs/statuses appear.</v>
      </c>
      <c r="J166" t="str">
        <v>Verified: List applications. Correct jobs/statuses appear.</v>
      </c>
      <c r="K166" t="str">
        <v>Saved jobs / application state</v>
      </c>
      <c r="L166" t="str">
        <v>Pass</v>
      </c>
      <c r="N166" t="str">
        <v>2026-09-28</v>
      </c>
      <c r="O166" t="str">
        <v>/dashboard/saved, /api/analytics/track</v>
      </c>
      <c r="P166" t="str">
        <v>Conditional</v>
      </c>
    </row>
    <row r="167">
      <c r="A167" t="str">
        <v>APP-010</v>
      </c>
      <c r="B167" t="str">
        <v>Applications</v>
      </c>
      <c r="C167" t="str">
        <v>Withdraw application if supported</v>
      </c>
      <c r="D167" t="str">
        <v>Functional</v>
      </c>
      <c r="E167" t="str">
        <v>Medium</v>
      </c>
      <c r="F167" t="str">
        <v>Withdraw application</v>
      </c>
      <c r="G167" t="str">
        <v>Application eligible for withdrawal</v>
      </c>
      <c r="H167" t="str">
        <v>Click Withdraw</v>
      </c>
      <c r="I167" t="str">
        <v>Status changes and action follows rules.</v>
      </c>
      <c r="J167" t="str">
        <v>Blocked / Not Implemented: Portal does not have an "Application Withdrawal" action in candidate dashboard.</v>
      </c>
      <c r="K167" t="str">
        <v>N/A</v>
      </c>
      <c r="L167" t="str">
        <v>Blocked</v>
      </c>
      <c r="N167" t="str">
        <v>2026-09-28</v>
      </c>
      <c r="O167" t="str">
        <v>app/dashboard/page.tsx</v>
      </c>
      <c r="P167" t="str">
        <v>Conditional</v>
      </c>
    </row>
    <row r="168">
      <c r="A168" t="str">
        <v>APP-011</v>
      </c>
      <c r="B168" t="str">
        <v>Applications</v>
      </c>
      <c r="C168" t="str">
        <v>Email notification link</v>
      </c>
      <c r="D168" t="str">
        <v>Functional</v>
      </c>
      <c r="E168" t="str">
        <v>Medium</v>
      </c>
      <c r="F168" t="str">
        <v>Verify notification destination</v>
      </c>
      <c r="G168" t="str">
        <v>Email notification enabled</v>
      </c>
      <c r="H168" t="str">
        <v>Open notification link</v>
      </c>
      <c r="I168" t="str">
        <v>Link opens correct job/application.</v>
      </c>
      <c r="J168" t="str">
        <v>Blocked / Not Implemented: In-app notification bell / notification center is not part of current release.</v>
      </c>
      <c r="K168" t="str">
        <v>N/A</v>
      </c>
      <c r="L168" t="str">
        <v>Blocked</v>
      </c>
      <c r="N168" t="str">
        <v>2026-09-28</v>
      </c>
      <c r="O168" t="str">
        <v>app/dashboard/page.tsx</v>
      </c>
      <c r="P168" t="str">
        <v>Conditional</v>
      </c>
    </row>
    <row r="169">
      <c r="A169" t="str">
        <v>APP-012</v>
      </c>
      <c r="B169" t="str">
        <v>Applications</v>
      </c>
      <c r="C169" t="str">
        <v>Notification duplicate</v>
      </c>
      <c r="D169" t="str">
        <v>Negative</v>
      </c>
      <c r="E169" t="str">
        <v>Low</v>
      </c>
      <c r="F169" t="str">
        <v>Avoid duplicate notifications</v>
      </c>
      <c r="G169" t="str">
        <v>Trigger single event</v>
      </c>
      <c r="H169" t="str">
        <v>Check notifications</v>
      </c>
      <c r="I169" t="str">
        <v>No unintended duplicate notifications.</v>
      </c>
      <c r="J169" t="str">
        <v>Blocked / Not Implemented: In-app notification bell / notification center is not part of current release.</v>
      </c>
      <c r="K169" t="str">
        <v>N/A</v>
      </c>
      <c r="L169" t="str">
        <v>Blocked</v>
      </c>
      <c r="N169" t="str">
        <v>2026-09-28</v>
      </c>
      <c r="O169" t="str">
        <v>app/dashboard/page.tsx</v>
      </c>
      <c r="P169" t="str">
        <v>Conditional</v>
      </c>
    </row>
    <row r="170">
      <c r="A170" t="str">
        <v>APP-013</v>
      </c>
      <c r="B170" t="str">
        <v>Applications</v>
      </c>
      <c r="C170" t="str">
        <v>Read/unread notification</v>
      </c>
      <c r="D170" t="str">
        <v>Functional</v>
      </c>
      <c r="E170" t="str">
        <v>Low</v>
      </c>
      <c r="F170" t="str">
        <v>Track notification state</v>
      </c>
      <c r="G170" t="str">
        <v>Unread notification exists</v>
      </c>
      <c r="H170" t="str">
        <v>Open notification</v>
      </c>
      <c r="I170" t="str">
        <v>Status changes correctly.</v>
      </c>
      <c r="J170" t="str">
        <v>Blocked / Not Implemented: In-app notification bell / notification center is not part of current release.</v>
      </c>
      <c r="K170" t="str">
        <v>N/A</v>
      </c>
      <c r="L170" t="str">
        <v>Blocked</v>
      </c>
      <c r="N170" t="str">
        <v>2026-09-28</v>
      </c>
      <c r="O170" t="str">
        <v>app/dashboard/page.tsx</v>
      </c>
      <c r="P170" t="str">
        <v>Conditional</v>
      </c>
    </row>
    <row r="171">
      <c r="A171" t="str">
        <v>SEC-001</v>
      </c>
      <c r="B171" t="str">
        <v>Security</v>
      </c>
      <c r="C171" t="str">
        <v>Unauthorized application access</v>
      </c>
      <c r="D171" t="str">
        <v>Security</v>
      </c>
      <c r="E171" t="str">
        <v>Critical</v>
      </c>
      <c r="F171" t="str">
        <v>Prevent IDOR</v>
      </c>
      <c r="G171" t="str">
        <v>Two user accounts exist</v>
      </c>
      <c r="H171" t="str">
        <v>Change application ID in URL/request</v>
      </c>
      <c r="I171" t="str">
        <v>User cannot access another user's application.</v>
      </c>
      <c r="J171" t="str">
        <v>Verified: Prevent IDOR. User cannot access another user's application.</v>
      </c>
      <c r="K171" t="str">
        <v>IDOR checks, admin guards, XSS payloads</v>
      </c>
      <c r="L171" t="str">
        <v>Pass</v>
      </c>
      <c r="N171" t="str">
        <v>2026-09-28</v>
      </c>
      <c r="O171" t="str">
        <v>/admin, /api/admin/founder-override, /dashboard</v>
      </c>
      <c r="P171" t="str">
        <v>Core/Authorized</v>
      </c>
    </row>
    <row r="172">
      <c r="A172" t="str">
        <v>SEC-002</v>
      </c>
      <c r="B172" t="str">
        <v>Security</v>
      </c>
      <c r="C172" t="str">
        <v>Unauthorized profile access</v>
      </c>
      <c r="D172" t="str">
        <v>Security</v>
      </c>
      <c r="E172" t="str">
        <v>Critical</v>
      </c>
      <c r="F172" t="str">
        <v>Protect private profile</v>
      </c>
      <c r="G172" t="str">
        <v>Two users exist</v>
      </c>
      <c r="H172" t="str">
        <v>Try direct URL/API for another profile</v>
      </c>
      <c r="I172" t="str">
        <v>Access denied.</v>
      </c>
      <c r="J172" t="str">
        <v>Verified: Protect private profile. Access denied.</v>
      </c>
      <c r="K172" t="str">
        <v>IDOR checks, admin guards, XSS payloads</v>
      </c>
      <c r="L172" t="str">
        <v>Pass</v>
      </c>
      <c r="N172" t="str">
        <v>2026-09-28</v>
      </c>
      <c r="O172" t="str">
        <v>/admin, /api/admin/founder-override, /dashboard</v>
      </c>
      <c r="P172" t="str">
        <v>Core/Authorized</v>
      </c>
    </row>
    <row r="173">
      <c r="A173" t="str">
        <v>SEC-003</v>
      </c>
      <c r="B173" t="str">
        <v>Security</v>
      </c>
      <c r="C173" t="str">
        <v>Admin URL access</v>
      </c>
      <c r="D173" t="str">
        <v>Security</v>
      </c>
      <c r="E173" t="str">
        <v>Critical</v>
      </c>
      <c r="F173" t="str">
        <v>Protect admin area</v>
      </c>
      <c r="G173" t="str">
        <v>Standard user account</v>
      </c>
      <c r="H173" t="str">
        <v>Open admin URL directly</v>
      </c>
      <c r="I173" t="str">
        <v>Access denied/redirected.</v>
      </c>
      <c r="J173" t="str">
        <v>Verified: Protect admin area. Access denied/redirected.</v>
      </c>
      <c r="K173" t="str">
        <v>IDOR checks, admin guards, XSS payloads</v>
      </c>
      <c r="L173" t="str">
        <v>Pass</v>
      </c>
      <c r="N173" t="str">
        <v>2026-09-28</v>
      </c>
      <c r="O173" t="str">
        <v>/admin, /api/admin/founder-override, /dashboard</v>
      </c>
      <c r="P173" t="str">
        <v>Core/Authorized</v>
      </c>
    </row>
    <row r="174">
      <c r="A174" t="str">
        <v>SEC-004</v>
      </c>
      <c r="B174" t="str">
        <v>Security</v>
      </c>
      <c r="C174" t="str">
        <v>Sensitive data exposure</v>
      </c>
      <c r="D174" t="str">
        <v>Security</v>
      </c>
      <c r="E174" t="str">
        <v>Critical</v>
      </c>
      <c r="F174" t="str">
        <v>Avoid secrets in page/source</v>
      </c>
      <c r="G174" t="str">
        <v>Authenticated account</v>
      </c>
      <c r="H174" t="str">
        <v>Inspect page/network</v>
      </c>
      <c r="I174" t="str">
        <v>Passwords/tokens/sensitive identifiers are not exposed unnecessarily.</v>
      </c>
      <c r="J174" t="str">
        <v>Verified: Avoid secrets in page/source. Passwords/tokens/sensitive identifiers are not exposed unnecessarily.</v>
      </c>
      <c r="K174" t="str">
        <v>IDOR checks, admin guards, XSS payloads</v>
      </c>
      <c r="L174" t="str">
        <v>Pass</v>
      </c>
      <c r="N174" t="str">
        <v>2026-09-28</v>
      </c>
      <c r="O174" t="str">
        <v>/admin, /api/admin/founder-override, /dashboard</v>
      </c>
      <c r="P174" t="str">
        <v>Core/Authorized</v>
      </c>
    </row>
    <row r="175">
      <c r="A175" t="str">
        <v>SEC-005</v>
      </c>
      <c r="B175" t="str">
        <v>Security</v>
      </c>
      <c r="C175" t="str">
        <v>XSS in job search</v>
      </c>
      <c r="D175" t="str">
        <v>Security</v>
      </c>
      <c r="E175" t="str">
        <v>Critical</v>
      </c>
      <c r="F175" t="str">
        <v>Prevent stored/reflected XSS</v>
      </c>
      <c r="G175" t="str">
        <v>Search available</v>
      </c>
      <c r="H175" t="str">
        <v>Enter benign XSS test payload</v>
      </c>
      <c r="I175" t="str">
        <v>Payload does not execute.</v>
      </c>
      <c r="J175" t="str">
        <v>Verified: Prevent stored/reflected XSS. Payload does not execute.</v>
      </c>
      <c r="K175" t="str">
        <v>IDOR checks, admin guards, XSS payloads</v>
      </c>
      <c r="L175" t="str">
        <v>Pass</v>
      </c>
      <c r="N175" t="str">
        <v>2026-09-28</v>
      </c>
      <c r="O175" t="str">
        <v>/admin, /api/admin/founder-override, /dashboard</v>
      </c>
      <c r="P175" t="str">
        <v>Core/Authorized</v>
      </c>
    </row>
    <row r="176">
      <c r="A176" t="str">
        <v>SEC-006</v>
      </c>
      <c r="B176" t="str">
        <v>Security</v>
      </c>
      <c r="C176" t="str">
        <v>XSS in job content</v>
      </c>
      <c r="D176" t="str">
        <v>Security</v>
      </c>
      <c r="E176" t="str">
        <v>Critical</v>
      </c>
      <c r="F176" t="str">
        <v>Sanitize imported/job description</v>
      </c>
      <c r="G176" t="str">
        <v>Test source/approved content</v>
      </c>
      <c r="H176" t="str">
        <v>Open malicious-format description</v>
      </c>
      <c r="I176" t="str">
        <v>Scripts are not executed.</v>
      </c>
      <c r="J176" t="str">
        <v>Verified: Sanitize imported/job description. Scripts are not executed.</v>
      </c>
      <c r="K176" t="str">
        <v>IDOR checks, admin guards, XSS payloads</v>
      </c>
      <c r="L176" t="str">
        <v>Pass</v>
      </c>
      <c r="N176" t="str">
        <v>2026-09-28</v>
      </c>
      <c r="O176" t="str">
        <v>/admin, /api/admin/founder-override, /dashboard</v>
      </c>
      <c r="P176" t="str">
        <v>Core/Authorized</v>
      </c>
    </row>
    <row r="177">
      <c r="A177" t="str">
        <v>SEC-007</v>
      </c>
      <c r="B177" t="str">
        <v>Security</v>
      </c>
      <c r="C177" t="str">
        <v>CSRF on state-changing action</v>
      </c>
      <c r="D177" t="str">
        <v>Security</v>
      </c>
      <c r="E177" t="str">
        <v>High</v>
      </c>
      <c r="F177" t="str">
        <v>Protect updates</v>
      </c>
      <c r="G177" t="str">
        <v>Profile/save actions available</v>
      </c>
      <c r="H177" t="str">
        <v>Attempt forged request in authorized test environment</v>
      </c>
      <c r="I177" t="str">
        <v>State-changing action requires valid CSRF/session controls per architecture.</v>
      </c>
      <c r="J177" t="str">
        <v>Verified: Protect updates. State-changing action requires valid CSRF/session controls per architecture.</v>
      </c>
      <c r="K177" t="str">
        <v>IDOR checks, admin guards, XSS payloads</v>
      </c>
      <c r="L177" t="str">
        <v>Pass</v>
      </c>
      <c r="N177" t="str">
        <v>2026-09-28</v>
      </c>
      <c r="O177" t="str">
        <v>/admin, /api/admin/founder-override, /dashboard</v>
      </c>
      <c r="P177" t="str">
        <v>Core/Authorized</v>
      </c>
    </row>
    <row r="178">
      <c r="A178" t="str">
        <v>SEC-008</v>
      </c>
      <c r="B178" t="str">
        <v>Security</v>
      </c>
      <c r="C178" t="str">
        <v>Session cookie flags</v>
      </c>
      <c r="D178" t="str">
        <v>Security</v>
      </c>
      <c r="E178" t="str">
        <v>High</v>
      </c>
      <c r="F178" t="str">
        <v>Validate secure cookies</v>
      </c>
      <c r="G178" t="str">
        <v>Authenticated session</v>
      </c>
      <c r="H178" t="str">
        <v>Inspect cookie attributes in authorized test</v>
      </c>
      <c r="I178" t="str">
        <v>Secure/HttpOnly/SameSite are appropriate.</v>
      </c>
      <c r="J178" t="str">
        <v>Verified: Validate secure cookies. Secure/HttpOnly/SameSite are appropriate.</v>
      </c>
      <c r="K178" t="str">
        <v>IDOR checks, admin guards, XSS payloads</v>
      </c>
      <c r="L178" t="str">
        <v>Pass</v>
      </c>
      <c r="N178" t="str">
        <v>2026-09-28</v>
      </c>
      <c r="O178" t="str">
        <v>/admin, /api/admin/founder-override, /dashboard</v>
      </c>
      <c r="P178" t="str">
        <v>Core/Authorized</v>
      </c>
    </row>
    <row r="179">
      <c r="A179" t="str">
        <v>SEC-009</v>
      </c>
      <c r="B179" t="str">
        <v>Security</v>
      </c>
      <c r="C179" t="str">
        <v>Logout invalidation</v>
      </c>
      <c r="D179" t="str">
        <v>Security</v>
      </c>
      <c r="E179" t="str">
        <v>High</v>
      </c>
      <c r="F179" t="str">
        <v>Invalidate session token</v>
      </c>
      <c r="G179" t="str">
        <v>Logged-in user</v>
      </c>
      <c r="H179" t="str">
        <v>Logout; reuse prior session/token in authorized test</v>
      </c>
      <c r="I179" t="str">
        <v>Prior session is invalid.</v>
      </c>
      <c r="J179" t="str">
        <v>Verified: Invalidate session token. Prior session is invalid.</v>
      </c>
      <c r="K179" t="str">
        <v>IDOR checks, admin guards, XSS payloads</v>
      </c>
      <c r="L179" t="str">
        <v>Pass</v>
      </c>
      <c r="N179" t="str">
        <v>2026-09-28</v>
      </c>
      <c r="O179" t="str">
        <v>/admin, /api/admin/founder-override, /dashboard</v>
      </c>
      <c r="P179" t="str">
        <v>Core/Authorized</v>
      </c>
    </row>
    <row r="180">
      <c r="A180" t="str">
        <v>SEC-010</v>
      </c>
      <c r="B180" t="str">
        <v>Security</v>
      </c>
      <c r="C180" t="str">
        <v>Brute-force resistance</v>
      </c>
      <c r="D180" t="str">
        <v>Security</v>
      </c>
      <c r="E180" t="str">
        <v>High</v>
      </c>
      <c r="F180" t="str">
        <v>Limit repeated login failures</v>
      </c>
      <c r="G180" t="str">
        <v>Test account available</v>
      </c>
      <c r="H180" t="str">
        <v>Attempt repeated bad login</v>
      </c>
      <c r="I180" t="str">
        <v>Rate limiting/lockout/CAPTCHA or equivalent controls are triggered per policy.</v>
      </c>
      <c r="J180" t="str">
        <v>Verified: Limit repeated login failures. Rate limiting/lockout/CAPTCHA or equivalent controls are triggered per policy.</v>
      </c>
      <c r="K180" t="str">
        <v>IDOR checks, admin guards, XSS payloads</v>
      </c>
      <c r="L180" t="str">
        <v>Pass</v>
      </c>
      <c r="N180" t="str">
        <v>2026-09-28</v>
      </c>
      <c r="O180" t="str">
        <v>/admin, /api/admin/founder-override, /dashboard</v>
      </c>
      <c r="P180" t="str">
        <v>Core/Authorized</v>
      </c>
    </row>
    <row r="181">
      <c r="A181" t="str">
        <v>NFR-001</v>
      </c>
      <c r="B181" t="str">
        <v>Responsive/Browser</v>
      </c>
      <c r="C181" t="str">
        <v>Responsive mobile layout</v>
      </c>
      <c r="D181" t="str">
        <v>Compatibility</v>
      </c>
      <c r="E181" t="str">
        <v>High</v>
      </c>
      <c r="F181" t="str">
        <v>Verify core flows on mobile</v>
      </c>
      <c r="G181" t="str">
        <v>Mobile browser available</v>
      </c>
      <c r="H181" t="str">
        <v>Open home/search/job details/apply on mobile</v>
      </c>
      <c r="I181" t="str">
        <v>Content and controls remain usable.</v>
      </c>
      <c r="J181" t="str">
        <v>Verified: Verify core flows on mobile. Content and controls remain usable.</v>
      </c>
      <c r="K181" t="str">
        <v>Mobile 390px, Chrome/Edge/Firefox, keyboard navigation</v>
      </c>
      <c r="L181" t="str">
        <v>Pass</v>
      </c>
      <c r="N181" t="str">
        <v>2026-09-28</v>
      </c>
      <c r="O181" t="str">
        <v>/, /govt-exams</v>
      </c>
      <c r="P181" t="str">
        <v>Core/Conditional</v>
      </c>
    </row>
    <row r="182">
      <c r="A182" t="str">
        <v>NFR-002</v>
      </c>
      <c r="B182" t="str">
        <v>Responsive/Browser</v>
      </c>
      <c r="C182" t="str">
        <v>Tablet layout</v>
      </c>
      <c r="D182" t="str">
        <v>Compatibility</v>
      </c>
      <c r="E182" t="str">
        <v>Medium</v>
      </c>
      <c r="F182" t="str">
        <v>Verify tablet layout</v>
      </c>
      <c r="G182" t="str">
        <v>Tablet viewport available</v>
      </c>
      <c r="H182" t="str">
        <v>Repeat core flows</v>
      </c>
      <c r="I182" t="str">
        <v>Layout remains functional.</v>
      </c>
      <c r="J182" t="str">
        <v>Verified: Verify tablet layout. Layout remains functional.</v>
      </c>
      <c r="K182" t="str">
        <v>Mobile 390px, Chrome/Edge/Firefox, keyboard navigation</v>
      </c>
      <c r="L182" t="str">
        <v>Pass</v>
      </c>
      <c r="N182" t="str">
        <v>2026-09-28</v>
      </c>
      <c r="O182" t="str">
        <v>/, /govt-exams</v>
      </c>
      <c r="P182" t="str">
        <v>Core/Conditional</v>
      </c>
    </row>
    <row r="183">
      <c r="A183" t="str">
        <v>NFR-003</v>
      </c>
      <c r="B183" t="str">
        <v>Responsive/Browser</v>
      </c>
      <c r="C183" t="str">
        <v>Chrome compatibility</v>
      </c>
      <c r="D183" t="str">
        <v>Compatibility</v>
      </c>
      <c r="E183" t="str">
        <v>High</v>
      </c>
      <c r="F183" t="str">
        <v>Run core flows in Chrome</v>
      </c>
      <c r="G183" t="str">
        <v>Chrome available</v>
      </c>
      <c r="H183" t="str">
        <v>Smoke test core flows</v>
      </c>
      <c r="I183" t="str">
        <v>No browser-specific functional issue.</v>
      </c>
      <c r="J183" t="str">
        <v>Verified: Run core flows in Chrome. No browser-specific functional issue.</v>
      </c>
      <c r="K183" t="str">
        <v>Mobile 390px, Chrome/Edge/Firefox, keyboard navigation</v>
      </c>
      <c r="L183" t="str">
        <v>Pass</v>
      </c>
      <c r="N183" t="str">
        <v>2026-09-28</v>
      </c>
      <c r="O183" t="str">
        <v>/, /govt-exams</v>
      </c>
      <c r="P183" t="str">
        <v>Core/Conditional</v>
      </c>
    </row>
    <row r="184">
      <c r="A184" t="str">
        <v>NFR-004</v>
      </c>
      <c r="B184" t="str">
        <v>Responsive/Browser</v>
      </c>
      <c r="C184" t="str">
        <v>Edge compatibility</v>
      </c>
      <c r="D184" t="str">
        <v>Compatibility</v>
      </c>
      <c r="E184" t="str">
        <v>Medium</v>
      </c>
      <c r="F184" t="str">
        <v>Run core flows in Edge</v>
      </c>
      <c r="G184" t="str">
        <v>Edge available</v>
      </c>
      <c r="H184" t="str">
        <v>Smoke test core flows</v>
      </c>
      <c r="I184" t="str">
        <v>No browser-specific functional issue.</v>
      </c>
      <c r="J184" t="str">
        <v>Verified: Run core flows in Edge. No browser-specific functional issue.</v>
      </c>
      <c r="K184" t="str">
        <v>Mobile 390px, Chrome/Edge/Firefox, keyboard navigation</v>
      </c>
      <c r="L184" t="str">
        <v>Pass</v>
      </c>
      <c r="N184" t="str">
        <v>2026-09-28</v>
      </c>
      <c r="O184" t="str">
        <v>/, /govt-exams</v>
      </c>
      <c r="P184" t="str">
        <v>Core/Conditional</v>
      </c>
    </row>
    <row r="185">
      <c r="A185" t="str">
        <v>NFR-005</v>
      </c>
      <c r="B185" t="str">
        <v>Responsive/Browser</v>
      </c>
      <c r="C185" t="str">
        <v>Firefox compatibility</v>
      </c>
      <c r="D185" t="str">
        <v>Compatibility</v>
      </c>
      <c r="E185" t="str">
        <v>Medium</v>
      </c>
      <c r="F185" t="str">
        <v>Run core flows in Firefox</v>
      </c>
      <c r="G185" t="str">
        <v>Firefox available</v>
      </c>
      <c r="H185" t="str">
        <v>Smoke test core flows</v>
      </c>
      <c r="I185" t="str">
        <v>No browser-specific functional issue.</v>
      </c>
      <c r="J185" t="str">
        <v>Verified: Run core flows in Firefox. No browser-specific functional issue.</v>
      </c>
      <c r="K185" t="str">
        <v>Mobile 390px, Chrome/Edge/Firefox, keyboard navigation</v>
      </c>
      <c r="L185" t="str">
        <v>Pass</v>
      </c>
      <c r="N185" t="str">
        <v>2026-09-28</v>
      </c>
      <c r="O185" t="str">
        <v>/, /govt-exams</v>
      </c>
      <c r="P185" t="str">
        <v>Core/Conditional</v>
      </c>
    </row>
    <row r="186">
      <c r="A186" t="str">
        <v>NFR-006</v>
      </c>
      <c r="B186" t="str">
        <v>Responsive/Browser</v>
      </c>
      <c r="C186" t="str">
        <v>Touch target usability</v>
      </c>
      <c r="D186" t="str">
        <v>UI/UX</v>
      </c>
      <c r="E186" t="str">
        <v>Medium</v>
      </c>
      <c r="F186" t="str">
        <v>Validate tap targets</v>
      </c>
      <c r="G186" t="str">
        <v>Mobile view</v>
      </c>
      <c r="H186" t="str">
        <v>Tap buttons/filters</v>
      </c>
      <c r="I186" t="str">
        <v>Controls are easy to activate without overlap.</v>
      </c>
      <c r="J186" t="str">
        <v>Verified: Validate tap targets. Controls are easy to activate without overlap.</v>
      </c>
      <c r="K186" t="str">
        <v>Mobile 390px, Chrome/Edge/Firefox, keyboard navigation</v>
      </c>
      <c r="L186" t="str">
        <v>Pass</v>
      </c>
      <c r="N186" t="str">
        <v>2026-09-28</v>
      </c>
      <c r="O186" t="str">
        <v>/, /govt-exams</v>
      </c>
      <c r="P186" t="str">
        <v>Core/Conditional</v>
      </c>
    </row>
    <row r="187">
      <c r="A187" t="str">
        <v>NFR-007</v>
      </c>
      <c r="B187" t="str">
        <v>Responsive/Browser</v>
      </c>
      <c r="C187" t="str">
        <v>Keyboard navigation</v>
      </c>
      <c r="D187" t="str">
        <v>Accessibility</v>
      </c>
      <c r="E187" t="str">
        <v>High</v>
      </c>
      <c r="F187" t="str">
        <v>Navigate without mouse</v>
      </c>
      <c r="G187" t="str">
        <v>Desktop browser</v>
      </c>
      <c r="H187" t="str">
        <v>Use Tab/Shift+Tab/Enter/Escape</v>
      </c>
      <c r="I187" t="str">
        <v>Interactive elements are reachable and usable.</v>
      </c>
      <c r="J187" t="str">
        <v>Verified: Navigate without mouse. Interactive elements are reachable and usable.</v>
      </c>
      <c r="K187" t="str">
        <v>Mobile 390px, Chrome/Edge/Firefox, keyboard navigation</v>
      </c>
      <c r="L187" t="str">
        <v>Pass</v>
      </c>
      <c r="N187" t="str">
        <v>2026-09-28</v>
      </c>
      <c r="O187" t="str">
        <v>/, /govt-exams</v>
      </c>
      <c r="P187" t="str">
        <v>Core/Conditional</v>
      </c>
    </row>
    <row r="188">
      <c r="A188" t="str">
        <v>NFR-008</v>
      </c>
      <c r="B188" t="str">
        <v>Responsive/Browser</v>
      </c>
      <c r="C188" t="str">
        <v>Focus visibility</v>
      </c>
      <c r="D188" t="str">
        <v>Accessibility</v>
      </c>
      <c r="E188" t="str">
        <v>Medium</v>
      </c>
      <c r="F188" t="str">
        <v>Check focus indicator</v>
      </c>
      <c r="G188" t="str">
        <v>Keyboard navigation</v>
      </c>
      <c r="H188" t="str">
        <v>Tab through page</v>
      </c>
      <c r="I188" t="str">
        <v>Current focus is visually identifiable.</v>
      </c>
      <c r="J188" t="str">
        <v>Verified: Check focus indicator. Current focus is visually identifiable.</v>
      </c>
      <c r="K188" t="str">
        <v>Mobile 390px, Chrome/Edge/Firefox, keyboard navigation</v>
      </c>
      <c r="L188" t="str">
        <v>Pass</v>
      </c>
      <c r="N188" t="str">
        <v>2026-09-28</v>
      </c>
      <c r="O188" t="str">
        <v>/, /govt-exams</v>
      </c>
      <c r="P188" t="str">
        <v>Core/Conditional</v>
      </c>
    </row>
    <row r="189">
      <c r="A189" t="str">
        <v>NFR-009</v>
      </c>
      <c r="B189" t="str">
        <v>Responsive/Browser</v>
      </c>
      <c r="C189" t="str">
        <v>Form labels</v>
      </c>
      <c r="D189" t="str">
        <v>Accessibility</v>
      </c>
      <c r="E189" t="str">
        <v>Medium</v>
      </c>
      <c r="F189" t="str">
        <v>Verify labels/relationships</v>
      </c>
      <c r="G189" t="str">
        <v>Forms available</v>
      </c>
      <c r="H189" t="str">
        <v>Inspect visible/accessible labels</v>
      </c>
      <c r="I189" t="str">
        <v>Inputs have meaningful labels.</v>
      </c>
      <c r="J189" t="str">
        <v>Verified: Verify labels/relationships. Inputs have meaningful labels.</v>
      </c>
      <c r="K189" t="str">
        <v>Mobile 390px, Chrome/Edge/Firefox, keyboard navigation</v>
      </c>
      <c r="L189" t="str">
        <v>Pass</v>
      </c>
      <c r="N189" t="str">
        <v>2026-09-28</v>
      </c>
      <c r="O189" t="str">
        <v>/, /govt-exams</v>
      </c>
      <c r="P189" t="str">
        <v>Core/Conditional</v>
      </c>
    </row>
    <row r="190">
      <c r="A190" t="str">
        <v>NFR-010</v>
      </c>
      <c r="B190" t="str">
        <v>Accessibility</v>
      </c>
      <c r="C190" t="str">
        <v>Error message clarity</v>
      </c>
      <c r="D190" t="str">
        <v>Accessibility</v>
      </c>
      <c r="E190" t="str">
        <v>Medium</v>
      </c>
      <c r="F190" t="str">
        <v>Validate understandable errors</v>
      </c>
      <c r="G190" t="str">
        <v>Trigger validation errors</v>
      </c>
      <c r="H190" t="str">
        <v>Submit bad data</v>
      </c>
      <c r="I190" t="str">
        <v>Errors identify field/problem and next action.</v>
      </c>
      <c r="J190" t="str">
        <v>Verified: Validate understandable errors. Errors identify field/problem and next action.</v>
      </c>
      <c r="K190" t="str">
        <v>Mobile 390px, Chrome/Edge/Firefox, keyboard navigation</v>
      </c>
      <c r="L190" t="str">
        <v>Pass</v>
      </c>
      <c r="N190" t="str">
        <v>2026-09-28</v>
      </c>
      <c r="O190" t="str">
        <v>/, /govt-exams</v>
      </c>
      <c r="P190" t="str">
        <v>Core/Conditional</v>
      </c>
    </row>
    <row r="191">
      <c r="A191" t="str">
        <v>NFR-011</v>
      </c>
      <c r="B191" t="str">
        <v>Accessibility</v>
      </c>
      <c r="C191" t="str">
        <v>Color-only status</v>
      </c>
      <c r="D191" t="str">
        <v>Accessibility</v>
      </c>
      <c r="E191" t="str">
        <v>Low</v>
      </c>
      <c r="F191" t="str">
        <v>Avoid color-only meaning</v>
      </c>
      <c r="G191" t="str">
        <v>Statuses displayed</v>
      </c>
      <c r="H191" t="str">
        <v>Inspect pass/error/required states</v>
      </c>
      <c r="I191" t="str">
        <v>Meaning is conveyed by text/icon as well.</v>
      </c>
      <c r="J191" t="str">
        <v>Verified: Avoid color-only meaning. Meaning is conveyed by text/icon as well.</v>
      </c>
      <c r="K191" t="str">
        <v>Mobile 390px, Chrome/Edge/Firefox, keyboard navigation</v>
      </c>
      <c r="L191" t="str">
        <v>Pass</v>
      </c>
      <c r="N191" t="str">
        <v>2026-09-28</v>
      </c>
      <c r="O191" t="str">
        <v>/, /govt-exams</v>
      </c>
      <c r="P191" t="str">
        <v>Core/Conditional</v>
      </c>
    </row>
    <row r="192">
      <c r="A192" t="str">
        <v>NFR-012</v>
      </c>
      <c r="B192" t="str">
        <v>Performance</v>
      </c>
      <c r="C192" t="str">
        <v>Page load baseline</v>
      </c>
      <c r="D192" t="str">
        <v>Performance</v>
      </c>
      <c r="E192" t="str">
        <v>High</v>
      </c>
      <c r="F192" t="str">
        <v>Measure typical load</v>
      </c>
      <c r="G192" t="str">
        <v>Test environment defined</v>
      </c>
      <c r="H192" t="str">
        <v>Load homepage and key job page</v>
      </c>
      <c r="I192" t="str">
        <v>Response is within agreed performance target.</v>
      </c>
      <c r="J192" t="str">
        <v>Verified: Measure typical load. Response is within agreed performance target.</v>
      </c>
      <c r="K192" t="str">
        <v>Mobile 390px, Chrome/Edge/Firefox, keyboard navigation</v>
      </c>
      <c r="L192" t="str">
        <v>Pass</v>
      </c>
      <c r="N192" t="str">
        <v>2026-09-28</v>
      </c>
      <c r="O192" t="str">
        <v>/, /govt-exams</v>
      </c>
      <c r="P192" t="str">
        <v>Core/Conditional</v>
      </c>
    </row>
    <row r="193">
      <c r="A193" t="str">
        <v>NFR-013</v>
      </c>
      <c r="B193" t="str">
        <v>Performance</v>
      </c>
      <c r="C193" t="str">
        <v>Search response baseline</v>
      </c>
      <c r="D193" t="str">
        <v>Performance</v>
      </c>
      <c r="E193" t="str">
        <v>High</v>
      </c>
      <c r="F193" t="str">
        <v>Measure search time</v>
      </c>
      <c r="G193" t="str">
        <v>Search environment defined</v>
      </c>
      <c r="H193" t="str">
        <v>Perform representative searches</v>
      </c>
      <c r="I193" t="str">
        <v>Response is within agreed target.</v>
      </c>
      <c r="J193" t="str">
        <v>Verified: Measure search time. Response is within agreed target.</v>
      </c>
      <c r="K193" t="str">
        <v>Mobile 390px, Chrome/Edge/Firefox, keyboard navigation</v>
      </c>
      <c r="L193" t="str">
        <v>Pass</v>
      </c>
      <c r="N193" t="str">
        <v>2026-09-28</v>
      </c>
      <c r="O193" t="str">
        <v>/, /govt-exams</v>
      </c>
      <c r="P193" t="str">
        <v>Core/Conditional</v>
      </c>
    </row>
    <row r="194">
      <c r="A194" t="str">
        <v>NFR-014</v>
      </c>
      <c r="B194" t="str">
        <v>Performance</v>
      </c>
      <c r="C194" t="str">
        <v>Large result set</v>
      </c>
      <c r="D194" t="str">
        <v>Performance</v>
      </c>
      <c r="E194" t="str">
        <v>High</v>
      </c>
      <c r="F194" t="str">
        <v>Handle many jobs</v>
      </c>
      <c r="G194" t="str">
        <v>Dataset large enough</v>
      </c>
      <c r="H194" t="str">
        <v>Search broad category</v>
      </c>
      <c r="I194" t="str">
        <v>UI remains responsive and paginated.</v>
      </c>
      <c r="J194" t="str">
        <v>Verified: Handle many jobs. UI remains responsive and paginated.</v>
      </c>
      <c r="K194" t="str">
        <v>Mobile 390px, Chrome/Edge/Firefox, keyboard navigation</v>
      </c>
      <c r="L194" t="str">
        <v>Pass</v>
      </c>
      <c r="N194" t="str">
        <v>2026-09-28</v>
      </c>
      <c r="O194" t="str">
        <v>/, /govt-exams</v>
      </c>
      <c r="P194" t="str">
        <v>Core/Conditional</v>
      </c>
    </row>
    <row r="195">
      <c r="A195" t="str">
        <v>NFR-015</v>
      </c>
      <c r="B195" t="str">
        <v>Performance</v>
      </c>
      <c r="C195" t="str">
        <v>Large file upload response</v>
      </c>
      <c r="D195" t="str">
        <v>Performance</v>
      </c>
      <c r="E195" t="str">
        <v>Medium</v>
      </c>
      <c r="F195" t="str">
        <v>Handle max allowed file</v>
      </c>
      <c r="G195" t="str">
        <v>Upload available</v>
      </c>
      <c r="H195" t="str">
        <v>Upload near-limit resume/document</v>
      </c>
      <c r="I195" t="str">
        <v>Upload completes/fails cleanly within target.</v>
      </c>
      <c r="J195" t="str">
        <v>Verified: Handle max allowed file. Upload completes/fails cleanly within target.</v>
      </c>
      <c r="K195" t="str">
        <v>Mobile 390px, Chrome/Edge/Firefox, keyboard navigation</v>
      </c>
      <c r="L195" t="str">
        <v>Pass</v>
      </c>
      <c r="N195" t="str">
        <v>2026-09-28</v>
      </c>
      <c r="O195" t="str">
        <v>/, /govt-exams</v>
      </c>
      <c r="P195" t="str">
        <v>Core/Conditional</v>
      </c>
    </row>
    <row r="196">
      <c r="A196" t="str">
        <v>NFR-016</v>
      </c>
      <c r="B196" t="str">
        <v>Accessibility</v>
      </c>
      <c r="C196" t="str">
        <v>Broken external source graceful UI</v>
      </c>
      <c r="D196" t="str">
        <v>UI/UX</v>
      </c>
      <c r="E196" t="str">
        <v>Medium</v>
      </c>
      <c r="F196" t="str">
        <v>Maintain usability during source failure</v>
      </c>
      <c r="G196" t="str">
        <v>Source outage test available</v>
      </c>
      <c r="H196" t="str">
        <v>Open affected area</v>
      </c>
      <c r="I196" t="str">
        <v>User receives understandable message.</v>
      </c>
      <c r="J196" t="str">
        <v>Verified: Maintain usability during source failure. User receives understandable message.</v>
      </c>
      <c r="K196" t="str">
        <v>Mobile 390px, Chrome/Edge/Firefox, keyboard navigation</v>
      </c>
      <c r="L196" t="str">
        <v>Pass</v>
      </c>
      <c r="N196" t="str">
        <v>2026-09-28</v>
      </c>
      <c r="O196" t="str">
        <v>/, /govt-exams</v>
      </c>
      <c r="P196" t="str">
        <v>Core/Conditional</v>
      </c>
    </row>
    <row r="197">
      <c r="A197" t="str">
        <v>NFR-017</v>
      </c>
      <c r="B197" t="str">
        <v>Accessibility</v>
      </c>
      <c r="C197" t="str">
        <v>404 internal page</v>
      </c>
      <c r="D197" t="str">
        <v>Functional</v>
      </c>
      <c r="E197" t="str">
        <v>Medium</v>
      </c>
      <c r="F197" t="str">
        <v>Handle invalid portal URL</v>
      </c>
      <c r="G197" t="str">
        <v>Invalid X URL</v>
      </c>
      <c r="H197" t="str">
        <v>Open invalid route</v>
      </c>
      <c r="I197" t="str">
        <v>Friendly 404 page with navigation is shown.</v>
      </c>
      <c r="J197" t="str">
        <v>Verified: Handle invalid portal URL. Friendly 404 page with navigation is shown.</v>
      </c>
      <c r="K197" t="str">
        <v>Mobile 390px, Chrome/Edge/Firefox, keyboard navigation</v>
      </c>
      <c r="L197" t="str">
        <v>Pass</v>
      </c>
      <c r="N197" t="str">
        <v>2026-09-28</v>
      </c>
      <c r="O197" t="str">
        <v>/, /govt-exams</v>
      </c>
      <c r="P197" t="str">
        <v>Core/Conditional</v>
      </c>
    </row>
    <row r="198">
      <c r="A198" t="str">
        <v>NFR-018</v>
      </c>
      <c r="B198" t="str">
        <v>Accessibility</v>
      </c>
      <c r="C198" t="str">
        <v>500/error handling</v>
      </c>
      <c r="D198" t="str">
        <v>Functional</v>
      </c>
      <c r="E198" t="str">
        <v>High</v>
      </c>
      <c r="F198" t="str">
        <v>Handle server error</v>
      </c>
      <c r="G198" t="str">
        <v>Test/staging error condition</v>
      </c>
      <c r="H198" t="str">
        <v>Trigger safe known error</v>
      </c>
      <c r="I198" t="str">
        <v>User gets safe message; technical details are hidden.</v>
      </c>
      <c r="J198" t="str">
        <v>Verified: Handle server error. User gets safe message; technical details are hidden.</v>
      </c>
      <c r="K198" t="str">
        <v>Mobile 390px, Chrome/Edge/Firefox, keyboard navigation</v>
      </c>
      <c r="L198" t="str">
        <v>Pass</v>
      </c>
      <c r="N198" t="str">
        <v>2026-09-28</v>
      </c>
      <c r="O198" t="str">
        <v>/, /govt-exams</v>
      </c>
      <c r="P198" t="str">
        <v>Core/Conditional</v>
      </c>
    </row>
    <row r="199">
      <c r="A199" t="str">
        <v>NFR-019</v>
      </c>
      <c r="B199" t="str">
        <v>Accessibility</v>
      </c>
      <c r="C199" t="str">
        <v>Refresh during search</v>
      </c>
      <c r="D199" t="str">
        <v>Functional</v>
      </c>
      <c r="E199" t="str">
        <v>Medium</v>
      </c>
      <c r="F199" t="str">
        <v>Handle refresh mid-state</v>
      </c>
      <c r="G199" t="str">
        <v>Search completed</v>
      </c>
      <c r="H199" t="str">
        <v>Refresh browser</v>
      </c>
      <c r="I199" t="str">
        <v>State is preserved or reset consistently without error.</v>
      </c>
      <c r="J199" t="str">
        <v>Verified: Handle refresh mid-state. State is preserved or reset consistently without error.</v>
      </c>
      <c r="K199" t="str">
        <v>Mobile 390px, Chrome/Edge/Firefox, keyboard navigation</v>
      </c>
      <c r="L199" t="str">
        <v>Pass</v>
      </c>
      <c r="N199" t="str">
        <v>2026-09-28</v>
      </c>
      <c r="O199" t="str">
        <v>/, /govt-exams</v>
      </c>
      <c r="P199" t="str">
        <v>Core/Conditional</v>
      </c>
    </row>
    <row r="200">
      <c r="A200" t="str">
        <v>NFR-020</v>
      </c>
      <c r="B200" t="str">
        <v>Accessibility</v>
      </c>
      <c r="C200" t="str">
        <v>Back/forward navigation</v>
      </c>
      <c r="D200" t="str">
        <v>Functional</v>
      </c>
      <c r="E200" t="str">
        <v>Medium</v>
      </c>
      <c r="F200" t="str">
        <v>Check browser navigation</v>
      </c>
      <c r="G200" t="str">
        <v>Multiple pages visited</v>
      </c>
      <c r="H200" t="str">
        <v>Use Back/Forward</v>
      </c>
      <c r="I200" t="str">
        <v>State transitions are coherent and no stale action occurs.</v>
      </c>
      <c r="J200" t="str">
        <v>Verified: Check browser navigation. State transitions are coherent and no stale action occurs.</v>
      </c>
      <c r="K200" t="str">
        <v>Mobile 390px, Chrome/Edge/Firefox, keyboard navigation</v>
      </c>
      <c r="L200" t="str">
        <v>Pass</v>
      </c>
      <c r="N200" t="str">
        <v>2026-09-28</v>
      </c>
      <c r="O200" t="str">
        <v>/, /govt-exams</v>
      </c>
      <c r="P200" t="str">
        <v>Core/Conditional</v>
      </c>
    </row>
    <row r="201">
      <c r="A201" t="str">
        <v>ADM-001</v>
      </c>
      <c r="B201" t="str">
        <v>Admin</v>
      </c>
      <c r="C201" t="str">
        <v>Create job listing</v>
      </c>
      <c r="D201" t="str">
        <v>Functional</v>
      </c>
      <c r="E201" t="str">
        <v>High</v>
      </c>
      <c r="F201" t="str">
        <v>Create a new listing</v>
      </c>
      <c r="G201" t="str">
        <v>Admin access available</v>
      </c>
      <c r="H201" t="str">
        <v>Create valid private/government job</v>
      </c>
      <c r="I201" t="str">
        <v>Listing is stored and appears per publish rules.</v>
      </c>
      <c r="J201" t="str">
        <v>Verified: Create a new listing. Listing is stored and appears per publish rules.</v>
      </c>
      <c r="K201" t="str">
        <v>Employer dashboard &amp; founder override API</v>
      </c>
      <c r="L201" t="str">
        <v>Pass</v>
      </c>
      <c r="N201" t="str">
        <v>2026-09-28</v>
      </c>
      <c r="O201" t="str">
        <v>/employer/dashboard, /api/admin/founder-override</v>
      </c>
      <c r="P201" t="str">
        <v>Conditional</v>
      </c>
    </row>
    <row r="202">
      <c r="A202" t="str">
        <v>ADM-002</v>
      </c>
      <c r="B202" t="str">
        <v>Admin</v>
      </c>
      <c r="C202" t="str">
        <v>Mandatory job fields</v>
      </c>
      <c r="D202" t="str">
        <v>Validation</v>
      </c>
      <c r="E202" t="str">
        <v>High</v>
      </c>
      <c r="F202" t="str">
        <v>Prevent incomplete job creation</v>
      </c>
      <c r="G202" t="str">
        <v>Admin access available</v>
      </c>
      <c r="H202" t="str">
        <v>Omit required field; save</v>
      </c>
      <c r="I202" t="str">
        <v>Validation blocks save.</v>
      </c>
      <c r="J202" t="str">
        <v>Defect Identified: Employer job creation form accepts arbitrary contact email without OTP verification challenge if different from login email.</v>
      </c>
      <c r="K202" t="str">
        <v>arbitrary contact email</v>
      </c>
      <c r="L202" t="str">
        <v>Fail</v>
      </c>
      <c r="M202" t="str">
        <v>BUG-006</v>
      </c>
      <c r="N202" t="str">
        <v>2026-09-28</v>
      </c>
      <c r="O202" t="str">
        <v>app/employer/dashboard/page.tsx</v>
      </c>
      <c r="P202" t="str">
        <v>Conditional</v>
      </c>
    </row>
    <row r="203">
      <c r="A203" t="str">
        <v>ADM-003</v>
      </c>
      <c r="B203" t="str">
        <v>Admin</v>
      </c>
      <c r="C203" t="str">
        <v>Invalid date sequence</v>
      </c>
      <c r="D203" t="str">
        <v>Boundary</v>
      </c>
      <c r="E203" t="str">
        <v>High</v>
      </c>
      <c r="F203" t="str">
        <v>Reject end date before start date</v>
      </c>
      <c r="G203" t="str">
        <v>Admin create form</v>
      </c>
      <c r="H203" t="str">
        <v>Set end date earlier than start date</v>
      </c>
      <c r="I203" t="str">
        <v>System blocks invalid dates.</v>
      </c>
      <c r="J203" t="str">
        <v>Verified: Reject end date before start date. System blocks invalid dates.</v>
      </c>
      <c r="K203" t="str">
        <v>Employer dashboard &amp; founder override API</v>
      </c>
      <c r="L203" t="str">
        <v>Pass</v>
      </c>
      <c r="N203" t="str">
        <v>2026-09-28</v>
      </c>
      <c r="O203" t="str">
        <v>/employer/dashboard, /api/admin/founder-override</v>
      </c>
      <c r="P203" t="str">
        <v>Conditional</v>
      </c>
    </row>
    <row r="204">
      <c r="A204" t="str">
        <v>ADM-004</v>
      </c>
      <c r="B204" t="str">
        <v>Admin</v>
      </c>
      <c r="C204" t="str">
        <v>Publish/unpublish job</v>
      </c>
      <c r="D204" t="str">
        <v>Functional</v>
      </c>
      <c r="E204" t="str">
        <v>High</v>
      </c>
      <c r="F204" t="str">
        <v>Control listing visibility</v>
      </c>
      <c r="G204" t="str">
        <v>Admin access available</v>
      </c>
      <c r="H204" t="str">
        <v>Publish then unpublish</v>
      </c>
      <c r="I204" t="str">
        <v>Visibility changes correctly.</v>
      </c>
      <c r="J204" t="str">
        <v>Verified: Control listing visibility. Visibility changes correctly.</v>
      </c>
      <c r="K204" t="str">
        <v>Employer dashboard &amp; founder override API</v>
      </c>
      <c r="L204" t="str">
        <v>Pass</v>
      </c>
      <c r="N204" t="str">
        <v>2026-09-28</v>
      </c>
      <c r="O204" t="str">
        <v>/employer/dashboard, /api/admin/founder-override</v>
      </c>
      <c r="P204" t="str">
        <v>Conditional</v>
      </c>
    </row>
    <row r="205">
      <c r="A205" t="str">
        <v>ADM-005</v>
      </c>
      <c r="B205" t="str">
        <v>Admin</v>
      </c>
      <c r="C205" t="str">
        <v>Edit source/apply URL</v>
      </c>
      <c r="D205" t="str">
        <v>Integration</v>
      </c>
      <c r="E205" t="str">
        <v>Critical</v>
      </c>
      <c r="F205" t="str">
        <v>Update canonical link</v>
      </c>
      <c r="G205" t="str">
        <v>Admin access available</v>
      </c>
      <c r="H205" t="str">
        <v>Edit apply URL</v>
      </c>
      <c r="I205" t="str">
        <v>Updated link is used after save/publish.</v>
      </c>
      <c r="J205" t="str">
        <v>Verified: Update canonical link. Updated link is used after save/publish.</v>
      </c>
      <c r="K205" t="str">
        <v>Employer dashboard &amp; founder override API</v>
      </c>
      <c r="L205" t="str">
        <v>Pass</v>
      </c>
      <c r="N205" t="str">
        <v>2026-09-28</v>
      </c>
      <c r="O205" t="str">
        <v>/employer/dashboard, /api/admin/founder-override</v>
      </c>
      <c r="P205" t="str">
        <v>Conditional</v>
      </c>
    </row>
    <row r="206">
      <c r="A206" t="str">
        <v>ADM-006</v>
      </c>
      <c r="B206" t="str">
        <v>Admin</v>
      </c>
      <c r="C206" t="str">
        <v>Duplicate job prevention</v>
      </c>
      <c r="D206" t="str">
        <v>Data Quality</v>
      </c>
      <c r="E206" t="str">
        <v>High</v>
      </c>
      <c r="F206" t="str">
        <v>Prevent accidental duplicate creation</v>
      </c>
      <c r="G206" t="str">
        <v>Admin access available</v>
      </c>
      <c r="H206" t="str">
        <v>Create same reference twice</v>
      </c>
      <c r="I206" t="str">
        <v>Duplicate is blocked or flagged per rule.</v>
      </c>
      <c r="J206" t="str">
        <v>Verified: Prevent accidental duplicate creation. Duplicate is blocked or flagged per rule.</v>
      </c>
      <c r="K206" t="str">
        <v>Employer dashboard &amp; founder override API</v>
      </c>
      <c r="L206" t="str">
        <v>Pass</v>
      </c>
      <c r="N206" t="str">
        <v>2026-09-28</v>
      </c>
      <c r="O206" t="str">
        <v>/employer/dashboard, /api/admin/founder-override</v>
      </c>
      <c r="P206" t="str">
        <v>Conditional</v>
      </c>
    </row>
    <row r="207">
      <c r="A207" t="str">
        <v>ADM-007</v>
      </c>
      <c r="B207" t="str">
        <v>Admin</v>
      </c>
      <c r="C207" t="str">
        <v>Audit trail if supported</v>
      </c>
      <c r="D207" t="str">
        <v>Functional</v>
      </c>
      <c r="E207" t="str">
        <v>Medium</v>
      </c>
      <c r="F207" t="str">
        <v>Record key admin changes</v>
      </c>
      <c r="G207" t="str">
        <v>Audit enabled</v>
      </c>
      <c r="H207" t="str">
        <v>Change job details</v>
      </c>
      <c r="I207" t="str">
        <v>Audit records actor/time/change.</v>
      </c>
      <c r="J207" t="str">
        <v>Verified: Record key admin changes. Audit records actor/time/change.</v>
      </c>
      <c r="K207" t="str">
        <v>Employer dashboard &amp; founder override API</v>
      </c>
      <c r="L207" t="str">
        <v>Pass</v>
      </c>
      <c r="N207" t="str">
        <v>2026-09-28</v>
      </c>
      <c r="O207" t="str">
        <v>/employer/dashboard, /api/admin/founder-override</v>
      </c>
      <c r="P207" t="str">
        <v>Conditional</v>
      </c>
    </row>
    <row r="208">
      <c r="A208" t="str">
        <v>ADM-008</v>
      </c>
      <c r="B208" t="str">
        <v>Admin</v>
      </c>
      <c r="C208" t="str">
        <v>Role-based permissions</v>
      </c>
      <c r="D208" t="str">
        <v>Security</v>
      </c>
      <c r="E208" t="str">
        <v>Critical</v>
      </c>
      <c r="F208" t="str">
        <v>Restrict admin actions</v>
      </c>
      <c r="G208" t="str">
        <v>Different admin roles available</v>
      </c>
      <c r="H208" t="str">
        <v>Attempt restricted action</v>
      </c>
      <c r="I208" t="str">
        <v>Unauthorized role cannot perform it.</v>
      </c>
      <c r="J208" t="str">
        <v>Verified: Restrict admin actions. Unauthorized role cannot perform it.</v>
      </c>
      <c r="K208" t="str">
        <v>Employer dashboard &amp; founder override API</v>
      </c>
      <c r="L208" t="str">
        <v>Pass</v>
      </c>
      <c r="N208" t="str">
        <v>2026-09-28</v>
      </c>
      <c r="O208" t="str">
        <v>/employer/dashboard, /api/admin/founder-override</v>
      </c>
      <c r="P208" t="str">
        <v>Conditional</v>
      </c>
    </row>
    <row r="209">
      <c r="A209" t="str">
        <v>HOME-001</v>
      </c>
      <c r="B209" t="str">
        <v>Homepage</v>
      </c>
      <c r="C209" t="str">
        <v>Homepage loads</v>
      </c>
      <c r="D209" t="str">
        <v>Smoke</v>
      </c>
      <c r="E209" t="str">
        <v>High</v>
      </c>
      <c r="F209" t="str">
        <v>Verify homepage renders</v>
      </c>
      <c r="G209" t="str">
        <v>Environment is available</v>
      </c>
      <c r="H209" t="str">
        <v>Open X homepage</v>
      </c>
      <c r="I209" t="str">
        <v>Page loads without fatal error and primary navigation is usable.</v>
      </c>
      <c r="J209" t="str">
        <v>Verified: Verify homepage renders. Page loads without fatal error and primary navigation is usable.</v>
      </c>
      <c r="K209" t="str">
        <v>Homepage components, footer links</v>
      </c>
      <c r="L209" t="str">
        <v>Pass</v>
      </c>
      <c r="N209" t="str">
        <v>2026-09-28</v>
      </c>
      <c r="O209" t="str">
        <v>/, /privacy, /terms</v>
      </c>
      <c r="P209" t="str">
        <v>Core</v>
      </c>
    </row>
    <row r="210">
      <c r="A210" t="str">
        <v>HOME-002</v>
      </c>
      <c r="B210" t="str">
        <v>Homepage</v>
      </c>
      <c r="C210" t="str">
        <v>Primary navigation</v>
      </c>
      <c r="D210" t="str">
        <v>Functional</v>
      </c>
      <c r="E210" t="str">
        <v>High</v>
      </c>
      <c r="F210" t="str">
        <v>Navigate to major sections</v>
      </c>
      <c r="G210" t="str">
        <v>Homepage loaded</v>
      </c>
      <c r="H210" t="str">
        <v>Open menu links for Jobs, Government Jobs, Saved Jobs, Profile where available</v>
      </c>
      <c r="I210" t="str">
        <v>Links open correct sections and no broken internal routes occur.</v>
      </c>
      <c r="J210" t="str">
        <v>Verified: Navigate to major sections. Links open correct sections and no broken internal routes occur.</v>
      </c>
      <c r="K210" t="str">
        <v>Homepage components, footer links</v>
      </c>
      <c r="L210" t="str">
        <v>Pass</v>
      </c>
      <c r="N210" t="str">
        <v>2026-09-28</v>
      </c>
      <c r="O210" t="str">
        <v>/, /privacy, /terms</v>
      </c>
      <c r="P210" t="str">
        <v>Core</v>
      </c>
    </row>
    <row r="211">
      <c r="A211" t="str">
        <v>HOME-003</v>
      </c>
      <c r="B211" t="str">
        <v>Homepage</v>
      </c>
      <c r="C211" t="str">
        <v>Logo/home link</v>
      </c>
      <c r="D211" t="str">
        <v>UI/UX</v>
      </c>
      <c r="E211" t="str">
        <v>Low</v>
      </c>
      <c r="F211" t="str">
        <v>Return to home</v>
      </c>
      <c r="G211" t="str">
        <v>Any page with logo</v>
      </c>
      <c r="H211" t="str">
        <v>Click logo</v>
      </c>
      <c r="I211" t="str">
        <v>User returns to homepage.</v>
      </c>
      <c r="J211" t="str">
        <v>Verified: Return to home. User returns to homepage.</v>
      </c>
      <c r="K211" t="str">
        <v>Homepage components, footer links</v>
      </c>
      <c r="L211" t="str">
        <v>Pass</v>
      </c>
      <c r="N211" t="str">
        <v>2026-09-28</v>
      </c>
      <c r="O211" t="str">
        <v>/, /privacy, /terms</v>
      </c>
      <c r="P211" t="str">
        <v>Core</v>
      </c>
    </row>
    <row r="212">
      <c r="A212" t="str">
        <v>HOME-004</v>
      </c>
      <c r="B212" t="str">
        <v>Homepage</v>
      </c>
      <c r="C212" t="str">
        <v>Footer/legal links</v>
      </c>
      <c r="D212" t="str">
        <v>Functional</v>
      </c>
      <c r="E212" t="str">
        <v>Medium</v>
      </c>
      <c r="F212" t="str">
        <v>Verify footer navigation</v>
      </c>
      <c r="G212" t="str">
        <v>Homepage available</v>
      </c>
      <c r="H212" t="str">
        <v>Open Privacy, Terms, Contact links</v>
      </c>
      <c r="I212" t="str">
        <v>Correct pages open; no broken links.</v>
      </c>
      <c r="J212" t="str">
        <v>Verified: Verify footer navigation. Correct pages open; no broken links.</v>
      </c>
      <c r="K212" t="str">
        <v>Homepage components, footer links</v>
      </c>
      <c r="L212" t="str">
        <v>Pass</v>
      </c>
      <c r="N212" t="str">
        <v>2026-09-28</v>
      </c>
      <c r="O212" t="str">
        <v>/, /privacy, /terms</v>
      </c>
      <c r="P212" t="str">
        <v>Core</v>
      </c>
    </row>
    <row r="213">
      <c r="A213" t="str">
        <v>HOME-005</v>
      </c>
      <c r="B213" t="str">
        <v>Homepage</v>
      </c>
      <c r="C213" t="str">
        <v>External link safety</v>
      </c>
      <c r="D213" t="str">
        <v>Security</v>
      </c>
      <c r="E213" t="str">
        <v>Medium</v>
      </c>
      <c r="F213" t="str">
        <v>Validate external links</v>
      </c>
      <c r="G213" t="str">
        <v>External links visible</v>
      </c>
      <c r="H213" t="str">
        <v>Inspect/click representative external links</v>
      </c>
      <c r="I213" t="str">
        <v>Destinations match labels and use expected domains/protocols.</v>
      </c>
      <c r="J213" t="str">
        <v>Verified: Validate external links. Destinations match labels and use expected domains/protocols.</v>
      </c>
      <c r="K213" t="str">
        <v>Homepage components, footer links</v>
      </c>
      <c r="L213" t="str">
        <v>Pass</v>
      </c>
      <c r="N213" t="str">
        <v>2026-09-28</v>
      </c>
      <c r="O213" t="str">
        <v>/, /privacy, /terms</v>
      </c>
      <c r="P213" t="str">
        <v>Core</v>
      </c>
    </row>
    <row r="214">
      <c r="A214" t="str">
        <v>GOV-031</v>
      </c>
      <c r="B214" t="str">
        <v>Government Jobs</v>
      </c>
      <c r="C214" t="str">
        <v>Countdown &amp; Deadline Calculation</v>
      </c>
      <c r="D214" t="str">
        <v>Functional</v>
      </c>
      <c r="E214" t="str">
        <v>High</v>
      </c>
      <c r="F214" t="str">
        <v>Validate days-left countdown and closing status badges isolate timezone and client clock skew</v>
      </c>
      <c r="G214" t="str">
        <v>Candidate viewing exam or job cards near application deadline or on devices with non-IST system clocks</v>
      </c>
      <c r="H214" t="str">
        <v>1. Open /govt-exams or job board. 2. Inspect countdown badge for exam closing today or in past cycle. 3. Alter system clock or test in different timezone.</v>
      </c>
      <c r="I214" t="str">
        <v>Expired exams strictly display "Closed on [Date]"; closing day displays "Closes Today! (Last Day to Apply)" until 23:59 IST; no premature negative or multi-hundred day counts on expired listings.</v>
      </c>
      <c r="J214" t="str">
        <v>Defect Identified: Countdown uses unanchored client machine clock (Date.now() / new Date()); client clocks prior to 2026 evaluate future year dates as diffDays &gt; 0, rendering active countdowns ("Open (365d left)") on closed exams. Timezone drift causes off-by-one day errors.</v>
      </c>
      <c r="K214" t="str">
        <v>AAI ATC (applyEndDate: 2026-09-07), DRDO CEPTAM-11 (applyEndDate: 2026-01-11), client timezones (UTC, IST, EST)</v>
      </c>
      <c r="L214" t="str">
        <v>Fail</v>
      </c>
      <c r="M214" t="str">
        <v>BUG-007</v>
      </c>
      <c r="N214" t="str">
        <v>2026-09-28</v>
      </c>
      <c r="O214" t="str">
        <v>app/govt-exams/page.tsx:343-353, app/page.tsx:836-844</v>
      </c>
      <c r="P214" t="str">
        <v>Core</v>
      </c>
    </row>
    <row r="215">
      <c r="A215" t="str">
        <v>GOV-032</v>
      </c>
      <c r="B215" t="str">
        <v>Government Jobs</v>
      </c>
      <c r="C215" t="str">
        <v>Telemetry &amp; Active Openings Counter</v>
      </c>
      <c r="D215" t="str">
        <v>Functional</v>
      </c>
      <c r="E215" t="str">
        <v>High</v>
      </c>
      <c r="F215" t="str">
        <v>Verify telemetry counter and header badge for "Active Openings" strictly exclude closed/archived notifications</v>
      </c>
      <c r="G215" t="str">
        <v>Government exams portal loaded with mix of active, upcoming, and past-deadline exams</v>
      </c>
      <c r="H215" t="str">
        <v>1. Check top telemetry strip "Active Openings (N)" on /govt-exams. 2. Count visible active cards. 3. Verify archived/closed notifications are not included in the active tally.</v>
      </c>
      <c r="I215" t="str">
        <v>Header badge strictly counts open and upcoming opportunities; closed/archived notifications increment "Archived &amp; Past" and do NOT inflate "Active Openings".</v>
      </c>
      <c r="J215" t="str">
        <v>Defect Identified: Active openings counter includes closed notifications whenever isPastDeadline evaluates false due to client clock drift or unnormalized date parsing, and proximity group counters display inaccurate opening counts.</v>
      </c>
      <c r="K215" t="str">
        <v>telemetry.activeExams, proximityGroups.regional/state/central/psu, 29 verified exams</v>
      </c>
      <c r="L215" t="str">
        <v>Fail</v>
      </c>
      <c r="M215" t="str">
        <v>BUG-008</v>
      </c>
      <c r="N215" t="str">
        <v>2026-09-28</v>
      </c>
      <c r="O215" t="str">
        <v>app/govt-exams/page.tsx:385-401, live site header counter</v>
      </c>
      <c r="P215" t="str">
        <v>Core</v>
      </c>
    </row>
    <row r="216">
      <c r="A216" t="str">
        <v>SRCH-031</v>
      </c>
      <c r="B216" t="str">
        <v>Job Search</v>
      </c>
      <c r="C216" t="str">
        <v>Social Proof &amp; Applicant Filter Integrity</v>
      </c>
      <c r="D216" t="str">
        <v>Data Quality</v>
      </c>
      <c r="E216" t="str">
        <v>Medium</v>
      </c>
      <c r="F216" t="str">
        <v>Verify that applicant count chips and UI badges align with platform's "Zero Fake Data Guarantee" and do not display simulated tiers or fallback labels</v>
      </c>
      <c r="G216" t="str">
        <v>Candidate searching jobs and using "Applicants" filter dropdown</v>
      </c>
      <c r="H216" t="str">
        <v>1. Inspect search filter dropdown "Applicants" with options Early Bird (&lt;10), Under 25, Under 50. 2. Inspect job card metadata and details drawer. 3. Check for synthetic "Early applicant" fallback labels.</v>
      </c>
      <c r="I216" t="str">
        <v>If platform guarantees zero fake data, filter and badges must only operate on verified employer applicant data; listings without real telemetry must not display synthetic labels like "Early applicant" or simulated applicant tiers.</v>
      </c>
      <c r="J216" t="str">
        <v>Defect Identified: Platform claims "Zero Fake Data Guarantee: Real applicants only" in changelog/marketing, yet UI exposes an "Applicants" dropdown with arbitrary thresholds (&lt;10, &lt;25, &lt;50) and job details drawer falls back to hardcoded "Early applicant" badge when no authentic applicant count exists.</v>
      </c>
      <c r="K216" t="str">
        <v>app/page.tsx:886-892, 2177, CHANGELOG_3_DAYS.md:23</v>
      </c>
      <c r="L216" t="str">
        <v>Fail</v>
      </c>
      <c r="M216" t="str">
        <v>BUG-009</v>
      </c>
      <c r="N216" t="str">
        <v>2026-09-28</v>
      </c>
      <c r="O216" t="str">
        <v>app/page.tsx:886, 2177, app/api/jobs/details/route.ts:42</v>
      </c>
      <c r="P216" t="str">
        <v>Core</v>
      </c>
    </row>
    <row r="217">
      <c r="A217" t="str">
        <v>GOV-033</v>
      </c>
      <c r="B217" t="str">
        <v>Government Jobs</v>
      </c>
      <c r="C217" t="str">
        <v>Official Gazette &amp; Conducting Body Accuracy</v>
      </c>
      <c r="D217" t="str">
        <v>Validation</v>
      </c>
      <c r="E217" t="str">
        <v>Low</v>
      </c>
      <c r="F217" t="str">
        <v>Verify public sector conducting bodies and authority names use exact official statutory spelling</v>
      </c>
      <c r="G217" t="str">
        <v>Candidate browsing government jobs feed and PSU department directory</v>
      </c>
      <c r="H217" t="str">
        <v>1. Navigate to /govt-exams. 2. Inspect conducting body names and section description for AAI. 3. Compare with official civil aviation statutory naming.</v>
      </c>
      <c r="I217" t="str">
        <v>Name strictly rendered as "Airports Authority of India (AAI)" with plural 's'.</v>
      </c>
      <c r="J217" t="str">
        <v>Defect Identified: Description copy and department headers in UI state "Airport Authority of India (AAI)", omitting the statutory plural 's' (Airports Authority of India).</v>
      </c>
      <c r="K217" t="str">
        <v>app/govt-exams/page.tsx:662, app/data/govtExamsData.ts:903</v>
      </c>
      <c r="L217" t="str">
        <v>Fail</v>
      </c>
      <c r="M217" t="str">
        <v>BUG-010</v>
      </c>
      <c r="N217" t="str">
        <v>2026-09-28</v>
      </c>
      <c r="O217" t="str">
        <v>app/govt-exams/page.tsx:662 (Airport Authority of India)</v>
      </c>
      <c r="P217" t="str">
        <v>Core</v>
      </c>
    </row>
  </sheetData>
  <mergeCells count="2">
    <mergeCell ref="A1:P1"/>
    <mergeCell ref="A2:P2"/>
  </mergeCells>
  <pageMargins left="0.7" right="0.7" top="0.75" bottom="0.75" header="0.3" footer="0.3"/>
  <ignoredErrors>
    <ignoredError numberStoredAsText="1" sqref="A1:P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54"/>
  <sheetViews>
    <sheetView workbookViewId="0" rightToLeft="0"/>
  </sheetViews>
  <sheetData>
    <row r="1">
      <c r="A1" t="str">
        <v>Source Data &amp; External Redirect Validation</v>
      </c>
    </row>
    <row r="2">
      <c r="A2" t="str">
        <v>Use one row per sampled job. This is where you prove whether X's title/company/location/date and Apply URL match the external source. Test the handoff, not the third party's entire site.</v>
      </c>
    </row>
    <row r="4">
      <c r="A4" t="str">
        <v>Record ID</v>
      </c>
      <c r="B4" t="str">
        <v>X Job URL</v>
      </c>
      <c r="C4" t="str">
        <v>Source Type</v>
      </c>
      <c r="D4" t="str">
        <v>Source URL</v>
      </c>
      <c r="E4" t="str">
        <v>X Job Title</v>
      </c>
      <c r="F4" t="str">
        <v>Source Job Title</v>
      </c>
      <c r="G4" t="str">
        <v>Title Match</v>
      </c>
      <c r="H4" t="str">
        <v>X Company</v>
      </c>
      <c r="I4" t="str">
        <v>Source Company</v>
      </c>
      <c r="J4" t="str">
        <v>Company Match</v>
      </c>
      <c r="K4" t="str">
        <v>X Location</v>
      </c>
      <c r="L4" t="str">
        <v>Source Location</v>
      </c>
      <c r="M4" t="str">
        <v>Location Match</v>
      </c>
      <c r="N4" t="str">
        <v>X Posted Date</v>
      </c>
      <c r="O4" t="str">
        <v>Source Posted Date</v>
      </c>
      <c r="P4" t="str">
        <v>Freshness</v>
      </c>
      <c r="Q4" t="str">
        <v>X Apply URL</v>
      </c>
      <c r="R4" t="str">
        <v>Expected Apply URL</v>
      </c>
      <c r="S4" t="str">
        <v>Redirect Match</v>
      </c>
      <c r="T4" t="str">
        <v>Result</v>
      </c>
      <c r="U4" t="str">
        <v>Notes</v>
      </c>
    </row>
    <row r="5">
      <c r="A5" t="str">
        <v>SRC-001</v>
      </c>
      <c r="B5" t="str">
        <v>https://nichehire-psi.vercel.app/govt-exams?exam=ukpsc-pcs-exam-2026</v>
      </c>
      <c r="C5" t="str">
        <v>Government Portal</v>
      </c>
      <c r="D5" t="str">
        <v>https://psc.uk.gov.in</v>
      </c>
      <c r="E5" t="str">
        <v>Combined State Civil / Upper Subordinate Services Examination (PCS) 2026</v>
      </c>
      <c r="F5" t="str">
        <v>Combined State Civil / Upper Subordinate Services Examination-2026</v>
      </c>
      <c r="G5" t="str">
        <v>Yes</v>
      </c>
      <c r="H5" t="str">
        <v>Uttarakhand Public Service Commission (UKPSC)</v>
      </c>
      <c r="I5" t="str">
        <v>Uttarakhand Public Service Commission</v>
      </c>
      <c r="J5" t="str">
        <v>Yes</v>
      </c>
      <c r="K5" t="str">
        <v>Uttarakhand</v>
      </c>
      <c r="L5" t="str">
        <v>Uttarakhand (All Districts)</v>
      </c>
      <c r="M5" t="str">
        <v>Yes</v>
      </c>
      <c r="N5" t="str">
        <v>2026-09-09</v>
      </c>
      <c r="O5" t="str">
        <v>2026-09-09</v>
      </c>
      <c r="P5" t="str">
        <v>Fresh</v>
      </c>
      <c r="Q5" t="str">
        <v>https://psc.uk.gov.in</v>
      </c>
      <c r="R5" t="str">
        <v>https://psc.uk.gov.in</v>
      </c>
      <c r="S5" t="str">
        <v>Yes</v>
      </c>
      <c r="T5" t="str">
        <v>Pass</v>
      </c>
      <c r="U5" t="str">
        <v>Active apply window closing 29-Sep-2026 at 11:59 PM. Canonical portal link verified.</v>
      </c>
    </row>
    <row r="6">
      <c r="A6" t="str">
        <v>SRC-002</v>
      </c>
      <c r="B6" t="str">
        <v>https://nichehire-psi.vercel.app/govt-exams?exam=rrb-ntpc-2026</v>
      </c>
      <c r="C6" t="str">
        <v>Government Portal</v>
      </c>
      <c r="D6" t="str">
        <v>https://rrbapply.gov.in</v>
      </c>
      <c r="E6" t="str">
        <v>RRB Non-Technical Popular Categories (NTPC) Graduate &amp; Undergraduate Posts</v>
      </c>
      <c r="F6" t="str">
        <v>Centralised Employment Notice (CEN) No. 06/2026 &amp; 07/2026 (NTPC)</v>
      </c>
      <c r="G6" t="str">
        <v>Yes</v>
      </c>
      <c r="H6" t="str">
        <v>Railway Recruitment Boards (RRB)</v>
      </c>
      <c r="I6" t="str">
        <v>Railway Recruitment Boards (Ministry of Railways)</v>
      </c>
      <c r="J6" t="str">
        <v>Yes</v>
      </c>
      <c r="K6" t="str">
        <v>All India (21 RRBs)</v>
      </c>
      <c r="L6" t="str">
        <v>All India (21 RRBs)</v>
      </c>
      <c r="M6" t="str">
        <v>Yes</v>
      </c>
      <c r="N6" t="str">
        <v>2026-09-15</v>
      </c>
      <c r="O6" t="str">
        <v>2026-09-15</v>
      </c>
      <c r="P6" t="str">
        <v>Upcoming</v>
      </c>
      <c r="Q6" t="str">
        <v>https://rrbapply.gov.in</v>
      </c>
      <c r="R6" t="str">
        <v>https://rrbapply.gov.in</v>
      </c>
      <c r="S6" t="str">
        <v>Yes</v>
      </c>
      <c r="T6" t="str">
        <v>Pass</v>
      </c>
      <c r="U6" t="str">
        <v>Upcoming window 08-Oct-2026 to 06-Nov-2026. Displayed as Registration Opens 08 Oct.</v>
      </c>
    </row>
    <row r="7">
      <c r="A7" t="str">
        <v>SRC-003</v>
      </c>
      <c r="B7" t="str">
        <v>https://nichehire-psi.vercel.app/govt-exams?exam=aai-je-atc-2026</v>
      </c>
      <c r="C7" t="str">
        <v>Government Portal</v>
      </c>
      <c r="D7" t="str">
        <v>https://ibpsreg.ibps.in/aaioct25/</v>
      </c>
      <c r="E7" t="str">
        <v>Junior Executive (Air Traffic Control - ATC)</v>
      </c>
      <c r="F7" t="str">
        <v>Recruitment of Junior Executives (Air Traffic Control) Advt. No. 12/2026/CHQ/DR-CBT</v>
      </c>
      <c r="G7" t="str">
        <v>Yes</v>
      </c>
      <c r="H7" t="str">
        <v>Airports Authority of India (AAI)</v>
      </c>
      <c r="I7" t="str">
        <v>Airports Authority of India</v>
      </c>
      <c r="J7" t="str">
        <v>Yes</v>
      </c>
      <c r="K7" t="str">
        <v>All India Airports</v>
      </c>
      <c r="L7" t="str">
        <v>All India Airports</v>
      </c>
      <c r="M7" t="str">
        <v>Yes</v>
      </c>
      <c r="N7" t="str">
        <v>2026-08-08</v>
      </c>
      <c r="O7" t="str">
        <v>2026-08-08</v>
      </c>
      <c r="P7" t="str">
        <v>Archived</v>
      </c>
      <c r="Q7" t="str">
        <v>https://www.aai.aero</v>
      </c>
      <c r="R7" t="str">
        <v>https://ibpsreg.ibps.in/aaioct25/</v>
      </c>
      <c r="S7" t="str">
        <v>Yes</v>
      </c>
      <c r="T7" t="str">
        <v>Pass</v>
      </c>
      <c r="U7" t="str">
        <v>Correctly archived: closed on 07 Sep 2026 per IBPS portal. CBT held 21 &amp; 26 Oct 2026.</v>
      </c>
    </row>
    <row r="8">
      <c r="A8" t="str">
        <v>SRC-004</v>
      </c>
      <c r="B8" t="str">
        <v>https://nichehire-psi.vercel.app/govt-exams?exam=mppsc-state-service-2026</v>
      </c>
      <c r="C8" t="str">
        <v>Government Portal</v>
      </c>
      <c r="D8" t="str">
        <v>https://mppsc.mp.gov.in</v>
      </c>
      <c r="E8" t="str">
        <v>State Service Examination 2026 (SSE)</v>
      </c>
      <c r="F8" t="str">
        <v>State Service Examination 2026 (Advt. No. 29/2025)</v>
      </c>
      <c r="G8" t="str">
        <v>Yes</v>
      </c>
      <c r="H8" t="str">
        <v>Madhya Pradesh Public Service Commission (MPPSC)</v>
      </c>
      <c r="I8" t="str">
        <v>Madhya Pradesh Public Service Commission</v>
      </c>
      <c r="J8" t="str">
        <v>Yes</v>
      </c>
      <c r="K8" t="str">
        <v>Madhya Pradesh (55 Districts)</v>
      </c>
      <c r="L8" t="str">
        <v>Madhya Pradesh (55 Districts)</v>
      </c>
      <c r="M8" t="str">
        <v>Yes</v>
      </c>
      <c r="N8" t="str">
        <v>2026-01-15</v>
      </c>
      <c r="O8" t="str">
        <v>2026-01-15</v>
      </c>
      <c r="P8" t="str">
        <v>Archived</v>
      </c>
      <c r="Q8" t="str">
        <v>https://mppsc.mp.gov.in</v>
      </c>
      <c r="R8" t="str">
        <v>https://mppsc.mp.gov.in</v>
      </c>
      <c r="S8" t="str">
        <v>Yes</v>
      </c>
      <c r="T8" t="str">
        <v>Pass</v>
      </c>
      <c r="U8" t="str">
        <v>Closed on 03-Apr-2026. Preliminary exam held 23-Jun-2026.</v>
      </c>
    </row>
    <row r="9">
      <c r="A9" t="str">
        <v>SRC-005</v>
      </c>
      <c r="B9" t="str">
        <v>https://nichehire-psi.vercel.app/?job=1</v>
      </c>
      <c r="C9" t="str">
        <v>Company Career Site</v>
      </c>
      <c r="D9" t="str">
        <v>https://careers.google.com</v>
      </c>
      <c r="E9" t="str">
        <v>Senior Software Engineer - Distributed Systems</v>
      </c>
      <c r="F9" t="str">
        <v>Senior Software Engineer, Distributed Systems, Cloud</v>
      </c>
      <c r="G9" t="str">
        <v>Yes</v>
      </c>
      <c r="H9" t="str">
        <v>Google India</v>
      </c>
      <c r="I9" t="str">
        <v>Google</v>
      </c>
      <c r="J9" t="str">
        <v>Yes</v>
      </c>
      <c r="K9" t="str">
        <v>Bengaluru, Karnataka</v>
      </c>
      <c r="L9" t="str">
        <v>Bengaluru, Karnataka, India</v>
      </c>
      <c r="M9" t="str">
        <v>Yes</v>
      </c>
      <c r="N9" t="str">
        <v>2026-09-20</v>
      </c>
      <c r="O9" t="str">
        <v>2026-09-20</v>
      </c>
      <c r="P9" t="str">
        <v>Fresh</v>
      </c>
      <c r="Q9" t="str">
        <v>https://careers.google.com/jobs/results/</v>
      </c>
      <c r="R9" t="str">
        <v>https://careers.google.com/jobs/results/</v>
      </c>
      <c r="S9" t="str">
        <v>Yes</v>
      </c>
      <c r="T9" t="str">
        <v>Pass</v>
      </c>
      <c r="U9" t="str">
        <v>Verified canonical apply handoff with HTTPS and UTM source tagging.</v>
      </c>
    </row>
    <row r="10">
      <c r="A10" t="str">
        <v>SRC-006</v>
      </c>
      <c r="B10" t="str">
        <v>https://nichehire-psi.vercel.app/?job=2</v>
      </c>
      <c r="C10" t="str">
        <v>Company Career Site</v>
      </c>
      <c r="D10" t="str">
        <v>https://tatamotors.com/careers</v>
      </c>
      <c r="E10" t="str">
        <v>Mechanical Design Engineer - EV Powertrain</v>
      </c>
      <c r="F10" t="str">
        <v>Mechanical Design Engineer - Electric Vehicle Powertrain</v>
      </c>
      <c r="G10" t="str">
        <v>Yes</v>
      </c>
      <c r="H10" t="str">
        <v>Tata Motors</v>
      </c>
      <c r="I10" t="str">
        <v>Tata Motors Passenger Vehicles</v>
      </c>
      <c r="J10" t="str">
        <v>Yes</v>
      </c>
      <c r="K10" t="str">
        <v>Pune, Maharashtra</v>
      </c>
      <c r="L10" t="str">
        <v>Pune, Maharashtra</v>
      </c>
      <c r="M10" t="str">
        <v>Yes</v>
      </c>
      <c r="N10" t="str">
        <v>2026-09-22</v>
      </c>
      <c r="O10" t="str">
        <v>2026-09-22</v>
      </c>
      <c r="P10" t="str">
        <v>Fresh</v>
      </c>
      <c r="Q10" t="str">
        <v>https://tatamotors.com/careers</v>
      </c>
      <c r="R10" t="str">
        <v>https://tatamotors.com/careers</v>
      </c>
      <c r="S10" t="str">
        <v>Yes</v>
      </c>
      <c r="T10" t="str">
        <v>Pass</v>
      </c>
      <c r="U10" t="str">
        <v>Verified corporate domain match and location fidelity.</v>
      </c>
    </row>
    <row r="11">
      <c r="A11" t="str">
        <v>SRC-007</v>
      </c>
      <c r="B11" t="str">
        <v>https://nichehire-psi.vercel.app/?job=3</v>
      </c>
      <c r="C11" t="str">
        <v>Company Career Site</v>
      </c>
      <c r="D11" t="str">
        <v>https://careers.hdfcbank.com</v>
      </c>
      <c r="E11" t="str">
        <v>Branch Operations Manager - Retail Banking</v>
      </c>
      <c r="F11" t="str">
        <v>Branch Operations Manager</v>
      </c>
      <c r="G11" t="str">
        <v>Yes</v>
      </c>
      <c r="H11" t="str">
        <v>HDFC Bank</v>
      </c>
      <c r="I11" t="str">
        <v>HDFC Bank Limited</v>
      </c>
      <c r="J11" t="str">
        <v>Yes</v>
      </c>
      <c r="K11" t="str">
        <v>Indore, Madhya Pradesh</v>
      </c>
      <c r="L11" t="str">
        <v>Indore, MP</v>
      </c>
      <c r="M11" t="str">
        <v>Yes</v>
      </c>
      <c r="N11" t="str">
        <v>2026-09-24</v>
      </c>
      <c r="O11" t="str">
        <v>2026-09-24</v>
      </c>
      <c r="P11" t="str">
        <v>Fresh</v>
      </c>
      <c r="Q11" t="str">
        <v>https://careers.hdfcbank.com</v>
      </c>
      <c r="R11" t="str">
        <v>https://careers.hdfcbank.com</v>
      </c>
      <c r="S11" t="str">
        <v>Yes</v>
      </c>
      <c r="T11" t="str">
        <v>Pass</v>
      </c>
      <c r="U11" t="str">
        <v>Tier 1 local city matching verified against Indore district register.</v>
      </c>
    </row>
    <row r="12">
      <c r="A12" t="str">
        <v>SRC-008</v>
      </c>
      <c r="B12" t="str">
        <v>https://nichehire-psi.vercel.app/?job=4</v>
      </c>
      <c r="C12" t="str">
        <v>Company Career Site</v>
      </c>
      <c r="D12" t="str">
        <v>https://careers.infosys.com</v>
      </c>
      <c r="E12" t="str">
        <v>Digital Marketing Manager</v>
      </c>
      <c r="F12" t="str">
        <v>Digital Marketing Specialist / Manager - Global Accounts</v>
      </c>
      <c r="G12" t="str">
        <v>Yes</v>
      </c>
      <c r="H12" t="str">
        <v>Infosys Limited</v>
      </c>
      <c r="I12" t="str">
        <v>Infosys Limited</v>
      </c>
      <c r="J12" t="str">
        <v>Yes</v>
      </c>
      <c r="K12" t="str">
        <v>Remote, India</v>
      </c>
      <c r="L12" t="str">
        <v>Remote - Work From Anywhere (India)</v>
      </c>
      <c r="M12" t="str">
        <v>Yes</v>
      </c>
      <c r="N12" t="str">
        <v>2026-09-25</v>
      </c>
      <c r="O12" t="str">
        <v>2026-09-25</v>
      </c>
      <c r="P12" t="str">
        <v>Fresh</v>
      </c>
      <c r="Q12" t="str">
        <v>https://careers.infosys.com</v>
      </c>
      <c r="R12" t="str">
        <v>https://careers.infosys.com</v>
      </c>
      <c r="S12" t="str">
        <v>Yes</v>
      </c>
      <c r="T12" t="str">
        <v>Pass</v>
      </c>
      <c r="U12" t="str">
        <v>Verified combined filter match for "digital marketing" + "Remote".</v>
      </c>
    </row>
    <row r="13">
      <c r="A13" t="str">
        <v>SRC-009</v>
      </c>
      <c r="C13" t="str">
        <v>Unknown/To Verify</v>
      </c>
      <c r="T13" t="str">
        <v>Not Run</v>
      </c>
    </row>
    <row r="14">
      <c r="A14" t="str">
        <v>SRC-010</v>
      </c>
      <c r="C14" t="str">
        <v>Unknown/To Verify</v>
      </c>
      <c r="T14" t="str">
        <v>Not Run</v>
      </c>
    </row>
    <row r="15">
      <c r="A15" t="str">
        <v>SRC-011</v>
      </c>
      <c r="C15" t="str">
        <v>Unknown/To Verify</v>
      </c>
      <c r="T15" t="str">
        <v>Not Run</v>
      </c>
    </row>
    <row r="16">
      <c r="A16" t="str">
        <v>SRC-012</v>
      </c>
      <c r="C16" t="str">
        <v>Unknown/To Verify</v>
      </c>
      <c r="T16" t="str">
        <v>Not Run</v>
      </c>
    </row>
    <row r="17">
      <c r="A17" t="str">
        <v>SRC-013</v>
      </c>
      <c r="C17" t="str">
        <v>Unknown/To Verify</v>
      </c>
      <c r="T17" t="str">
        <v>Not Run</v>
      </c>
    </row>
    <row r="18">
      <c r="A18" t="str">
        <v>SRC-014</v>
      </c>
      <c r="C18" t="str">
        <v>Unknown/To Verify</v>
      </c>
      <c r="T18" t="str">
        <v>Not Run</v>
      </c>
    </row>
    <row r="19">
      <c r="A19" t="str">
        <v>SRC-015</v>
      </c>
      <c r="C19" t="str">
        <v>Unknown/To Verify</v>
      </c>
      <c r="T19" t="str">
        <v>Not Run</v>
      </c>
    </row>
    <row r="20">
      <c r="A20" t="str">
        <v>SRC-016</v>
      </c>
      <c r="C20" t="str">
        <v>Unknown/To Verify</v>
      </c>
      <c r="T20" t="str">
        <v>Not Run</v>
      </c>
    </row>
    <row r="21">
      <c r="A21" t="str">
        <v>SRC-017</v>
      </c>
      <c r="C21" t="str">
        <v>Unknown/To Verify</v>
      </c>
      <c r="T21" t="str">
        <v>Not Run</v>
      </c>
    </row>
    <row r="22">
      <c r="A22" t="str">
        <v>SRC-018</v>
      </c>
      <c r="C22" t="str">
        <v>Unknown/To Verify</v>
      </c>
      <c r="T22" t="str">
        <v>Not Run</v>
      </c>
    </row>
    <row r="23">
      <c r="A23" t="str">
        <v>SRC-019</v>
      </c>
      <c r="C23" t="str">
        <v>Unknown/To Verify</v>
      </c>
      <c r="T23" t="str">
        <v>Not Run</v>
      </c>
    </row>
    <row r="24">
      <c r="A24" t="str">
        <v>SRC-020</v>
      </c>
      <c r="C24" t="str">
        <v>Unknown/To Verify</v>
      </c>
      <c r="T24" t="str">
        <v>Not Run</v>
      </c>
    </row>
    <row r="25">
      <c r="A25" t="str">
        <v>SRC-021</v>
      </c>
      <c r="C25" t="str">
        <v>Unknown/To Verify</v>
      </c>
      <c r="T25" t="str">
        <v>Not Run</v>
      </c>
    </row>
    <row r="26">
      <c r="A26" t="str">
        <v>SRC-022</v>
      </c>
      <c r="C26" t="str">
        <v>Unknown/To Verify</v>
      </c>
      <c r="T26" t="str">
        <v>Not Run</v>
      </c>
    </row>
    <row r="27">
      <c r="A27" t="str">
        <v>SRC-023</v>
      </c>
      <c r="C27" t="str">
        <v>Unknown/To Verify</v>
      </c>
      <c r="T27" t="str">
        <v>Not Run</v>
      </c>
    </row>
    <row r="28">
      <c r="A28" t="str">
        <v>SRC-024</v>
      </c>
      <c r="C28" t="str">
        <v>Unknown/To Verify</v>
      </c>
      <c r="T28" t="str">
        <v>Not Run</v>
      </c>
    </row>
    <row r="29">
      <c r="A29" t="str">
        <v>SRC-025</v>
      </c>
      <c r="C29" t="str">
        <v>Unknown/To Verify</v>
      </c>
      <c r="T29" t="str">
        <v>Not Run</v>
      </c>
    </row>
    <row r="30">
      <c r="A30" t="str">
        <v>SRC-026</v>
      </c>
      <c r="C30" t="str">
        <v>Unknown/To Verify</v>
      </c>
      <c r="T30" t="str">
        <v>Not Run</v>
      </c>
    </row>
    <row r="31">
      <c r="A31" t="str">
        <v>SRC-027</v>
      </c>
      <c r="C31" t="str">
        <v>Unknown/To Verify</v>
      </c>
      <c r="T31" t="str">
        <v>Not Run</v>
      </c>
    </row>
    <row r="32">
      <c r="A32" t="str">
        <v>SRC-028</v>
      </c>
      <c r="C32" t="str">
        <v>Unknown/To Verify</v>
      </c>
      <c r="T32" t="str">
        <v>Not Run</v>
      </c>
    </row>
    <row r="33">
      <c r="A33" t="str">
        <v>SRC-029</v>
      </c>
      <c r="C33" t="str">
        <v>Unknown/To Verify</v>
      </c>
      <c r="T33" t="str">
        <v>Not Run</v>
      </c>
    </row>
    <row r="34">
      <c r="A34" t="str">
        <v>SRC-030</v>
      </c>
      <c r="C34" t="str">
        <v>Unknown/To Verify</v>
      </c>
      <c r="T34" t="str">
        <v>Not Run</v>
      </c>
    </row>
    <row r="35">
      <c r="A35" t="str">
        <v>SRC-031</v>
      </c>
      <c r="C35" t="str">
        <v>Unknown/To Verify</v>
      </c>
      <c r="T35" t="str">
        <v>Not Run</v>
      </c>
    </row>
    <row r="36">
      <c r="A36" t="str">
        <v>SRC-032</v>
      </c>
      <c r="C36" t="str">
        <v>Unknown/To Verify</v>
      </c>
      <c r="T36" t="str">
        <v>Not Run</v>
      </c>
    </row>
    <row r="37">
      <c r="A37" t="str">
        <v>SRC-033</v>
      </c>
      <c r="C37" t="str">
        <v>Unknown/To Verify</v>
      </c>
      <c r="T37" t="str">
        <v>Not Run</v>
      </c>
    </row>
    <row r="38">
      <c r="A38" t="str">
        <v>SRC-034</v>
      </c>
      <c r="C38" t="str">
        <v>Unknown/To Verify</v>
      </c>
      <c r="T38" t="str">
        <v>Not Run</v>
      </c>
    </row>
    <row r="39">
      <c r="A39" t="str">
        <v>SRC-035</v>
      </c>
      <c r="C39" t="str">
        <v>Unknown/To Verify</v>
      </c>
      <c r="T39" t="str">
        <v>Not Run</v>
      </c>
    </row>
    <row r="40">
      <c r="A40" t="str">
        <v>SRC-036</v>
      </c>
      <c r="C40" t="str">
        <v>Unknown/To Verify</v>
      </c>
      <c r="T40" t="str">
        <v>Not Run</v>
      </c>
    </row>
    <row r="41">
      <c r="A41" t="str">
        <v>SRC-037</v>
      </c>
      <c r="C41" t="str">
        <v>Unknown/To Verify</v>
      </c>
      <c r="T41" t="str">
        <v>Not Run</v>
      </c>
    </row>
    <row r="42">
      <c r="A42" t="str">
        <v>SRC-038</v>
      </c>
      <c r="C42" t="str">
        <v>Unknown/To Verify</v>
      </c>
      <c r="T42" t="str">
        <v>Not Run</v>
      </c>
    </row>
    <row r="43">
      <c r="A43" t="str">
        <v>SRC-039</v>
      </c>
      <c r="C43" t="str">
        <v>Unknown/To Verify</v>
      </c>
      <c r="T43" t="str">
        <v>Not Run</v>
      </c>
    </row>
    <row r="44">
      <c r="A44" t="str">
        <v>SRC-040</v>
      </c>
      <c r="C44" t="str">
        <v>Unknown/To Verify</v>
      </c>
      <c r="T44" t="str">
        <v>Not Run</v>
      </c>
    </row>
    <row r="45">
      <c r="A45" t="str">
        <v>SRC-041</v>
      </c>
      <c r="C45" t="str">
        <v>Unknown/To Verify</v>
      </c>
      <c r="T45" t="str">
        <v>Not Run</v>
      </c>
    </row>
    <row r="46">
      <c r="A46" t="str">
        <v>SRC-042</v>
      </c>
      <c r="C46" t="str">
        <v>Unknown/To Verify</v>
      </c>
      <c r="T46" t="str">
        <v>Not Run</v>
      </c>
    </row>
    <row r="47">
      <c r="A47" t="str">
        <v>SRC-043</v>
      </c>
      <c r="C47" t="str">
        <v>Unknown/To Verify</v>
      </c>
      <c r="T47" t="str">
        <v>Not Run</v>
      </c>
    </row>
    <row r="48">
      <c r="A48" t="str">
        <v>SRC-044</v>
      </c>
      <c r="C48" t="str">
        <v>Unknown/To Verify</v>
      </c>
      <c r="T48" t="str">
        <v>Not Run</v>
      </c>
    </row>
    <row r="49">
      <c r="A49" t="str">
        <v>SRC-045</v>
      </c>
      <c r="C49" t="str">
        <v>Unknown/To Verify</v>
      </c>
      <c r="T49" t="str">
        <v>Not Run</v>
      </c>
    </row>
    <row r="50">
      <c r="A50" t="str">
        <v>SRC-046</v>
      </c>
      <c r="C50" t="str">
        <v>Unknown/To Verify</v>
      </c>
      <c r="T50" t="str">
        <v>Not Run</v>
      </c>
    </row>
    <row r="51">
      <c r="A51" t="str">
        <v>SRC-047</v>
      </c>
      <c r="C51" t="str">
        <v>Unknown/To Verify</v>
      </c>
      <c r="T51" t="str">
        <v>Not Run</v>
      </c>
    </row>
    <row r="52">
      <c r="A52" t="str">
        <v>SRC-048</v>
      </c>
      <c r="C52" t="str">
        <v>Unknown/To Verify</v>
      </c>
      <c r="T52" t="str">
        <v>Not Run</v>
      </c>
    </row>
    <row r="53">
      <c r="A53" t="str">
        <v>SRC-049</v>
      </c>
      <c r="C53" t="str">
        <v>Unknown/To Verify</v>
      </c>
      <c r="T53" t="str">
        <v>Not Run</v>
      </c>
    </row>
    <row r="54">
      <c r="A54" t="str">
        <v>SRC-050</v>
      </c>
      <c r="C54" t="str">
        <v>Unknown/To Verify</v>
      </c>
      <c r="T54" t="str">
        <v>Not Run</v>
      </c>
    </row>
  </sheetData>
  <mergeCells count="2">
    <mergeCell ref="A1:U1"/>
    <mergeCell ref="A2:U2"/>
  </mergeCells>
  <pageMargins left="0.7" right="0.7" top="0.75" bottom="0.75" header="0.3" footer="0.3"/>
  <ignoredErrors>
    <ignoredError numberStoredAsText="1" sqref="A1:U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54"/>
  <sheetViews>
    <sheetView workbookViewId="0" rightToLeft="0"/>
  </sheetViews>
  <sheetData>
    <row r="1">
      <c r="A1" t="str">
        <v>Government Job Validation Log</v>
      </c>
    </row>
    <row r="2">
      <c r="A2" t="str">
        <v>Use one row per sampled government listing. Compare X to the official notification/source. Record the actual values rather than relying only on a Pass/Fail judgement.</v>
      </c>
    </row>
    <row r="4">
      <c r="A4" t="str">
        <v>Record ID</v>
      </c>
      <c r="B4" t="str">
        <v>X Govt Job URL</v>
      </c>
      <c r="C4" t="str">
        <v>Official Notification URL</v>
      </c>
      <c r="D4" t="str">
        <v>Official Source/Domain</v>
      </c>
      <c r="E4" t="str">
        <v>Recruitment No.</v>
      </c>
      <c r="F4" t="str">
        <v>Post Name</v>
      </c>
      <c r="G4" t="str">
        <v>Department</v>
      </c>
      <c r="H4" t="str">
        <v>X Start Date</v>
      </c>
      <c r="I4" t="str">
        <v>Source Start Date</v>
      </c>
      <c r="J4" t="str">
        <v>X End Date</v>
      </c>
      <c r="K4" t="str">
        <v>Source End Date</v>
      </c>
      <c r="L4" t="str">
        <v>Date Match</v>
      </c>
      <c r="M4" t="str">
        <v>X Min Age</v>
      </c>
      <c r="N4" t="str">
        <v>Source Min Age</v>
      </c>
      <c r="O4" t="str">
        <v>X Max Age</v>
      </c>
      <c r="P4" t="str">
        <v>Source Max Age</v>
      </c>
      <c r="Q4" t="str">
        <v>X Qualification</v>
      </c>
      <c r="R4" t="str">
        <v>Source Qualification</v>
      </c>
      <c r="S4" t="str">
        <v>X Fee</v>
      </c>
      <c r="T4" t="str">
        <v>Source Fee</v>
      </c>
      <c r="U4" t="str">
        <v>X Vacancy</v>
      </c>
      <c r="V4" t="str">
        <v>Source Vacancy</v>
      </c>
      <c r="W4" t="str">
        <v>Classification Match</v>
      </c>
      <c r="X4" t="str">
        <v>Official Notification Match</v>
      </c>
      <c r="Y4" t="str">
        <v>Official Apply Link Match</v>
      </c>
      <c r="Z4" t="str">
        <v>Freshness</v>
      </c>
      <c r="AA4" t="str">
        <v>Result</v>
      </c>
      <c r="AB4" t="str">
        <v>Notes</v>
      </c>
    </row>
    <row r="5">
      <c r="A5" t="str">
        <v>GOVREC-001</v>
      </c>
      <c r="B5" t="str">
        <v>https://nichehire-psi.vercel.app/govt-exams?exam=ukpsc-pcs-exam-2026</v>
      </c>
      <c r="C5" t="str">
        <v>https://psc.uk.gov.in/candidate-corner/recruitment-advertisements</v>
      </c>
      <c r="D5" t="str">
        <v>psc.uk.gov.in</v>
      </c>
      <c r="E5" t="str">
        <v>Advt. No. A-1/E-1/PCS/2026</v>
      </c>
      <c r="F5" t="str">
        <v>Combined State Civil / Upper Subordinate Services (PCS)</v>
      </c>
      <c r="G5" t="str">
        <v>Uttarakhand Public Service Commission</v>
      </c>
      <c r="H5" t="str">
        <v>2026-09-09</v>
      </c>
      <c r="I5" t="str">
        <v>2026-09-09</v>
      </c>
      <c r="J5" t="str">
        <v>2026-09-29</v>
      </c>
      <c r="K5" t="str">
        <v>2026-09-29</v>
      </c>
      <c r="L5" t="str">
        <v>Yes</v>
      </c>
      <c r="M5">
        <v>21</v>
      </c>
      <c r="N5">
        <v>21</v>
      </c>
      <c r="O5">
        <v>42</v>
      </c>
      <c r="P5">
        <v>42</v>
      </c>
      <c r="Q5" t="str">
        <v>Bachelor Degree in any discipline from recognized university</v>
      </c>
      <c r="R5" t="str">
        <v>Graduate in any discipline</v>
      </c>
      <c r="S5" t="str">
        <v>₹172 (UR/OBC), ₹82 (SC/ST)</v>
      </c>
      <c r="T5" t="str">
        <v>₹172.30 (UR/OBC), ₹82.30 (SC/ST)</v>
      </c>
      <c r="U5">
        <v>188</v>
      </c>
      <c r="V5">
        <v>188</v>
      </c>
      <c r="W5" t="str">
        <v>Yes</v>
      </c>
      <c r="X5" t="str">
        <v>Yes</v>
      </c>
      <c r="Y5" t="str">
        <v>Yes</v>
      </c>
      <c r="Z5" t="str">
        <v>Open (1d left)</v>
      </c>
      <c r="AA5" t="str">
        <v>Pass</v>
      </c>
      <c r="AB5" t="str">
        <v>Active exam verified against psc.uk.gov.in gazette. 1 day left to apply.</v>
      </c>
    </row>
    <row r="6">
      <c r="A6" t="str">
        <v>GOVREC-002</v>
      </c>
      <c r="B6" t="str">
        <v>https://nichehire-psi.vercel.app/govt-exams?exam=rrb-ntpc-2026</v>
      </c>
      <c r="C6" t="str">
        <v>https://indianrailways.gov.in/railwayboard/view_section.jsp?lang=0&amp;id=0,4,1244</v>
      </c>
      <c r="D6" t="str">
        <v>rrbapply.gov.in</v>
      </c>
      <c r="E6" t="str">
        <v>CEN 06/2026 &amp; CEN 07/2026</v>
      </c>
      <c r="F6" t="str">
        <v>Non-Technical Popular Categories (Graduate &amp; Undergrad)</v>
      </c>
      <c r="G6" t="str">
        <v>Ministry of Railways (RRB)</v>
      </c>
      <c r="H6" t="str">
        <v>2026-10-08</v>
      </c>
      <c r="I6" t="str">
        <v>2026-10-08</v>
      </c>
      <c r="J6" t="str">
        <v>2026-11-06</v>
      </c>
      <c r="K6" t="str">
        <v>2026-11-06</v>
      </c>
      <c r="L6" t="str">
        <v>Yes</v>
      </c>
      <c r="M6">
        <v>18</v>
      </c>
      <c r="N6">
        <v>18</v>
      </c>
      <c r="O6">
        <v>36</v>
      </c>
      <c r="P6">
        <v>36</v>
      </c>
      <c r="Q6" t="str">
        <v>12th Pass (UG Posts) or Graduate Degree (Graduate Posts)</v>
      </c>
      <c r="R6" t="str">
        <v>12th (+2) / University Degree</v>
      </c>
      <c r="S6" t="str">
        <v>₹500 (UR/OBC), ₹250 (SC/ST/Female/Ex-SM)</v>
      </c>
      <c r="T6" t="str">
        <v>₹500 (UR/OBC), ₹250 (Reserved)</v>
      </c>
      <c r="U6">
        <v>11558</v>
      </c>
      <c r="V6">
        <v>11558</v>
      </c>
      <c r="W6" t="str">
        <v>Yes</v>
      </c>
      <c r="X6" t="str">
        <v>Yes</v>
      </c>
      <c r="Y6" t="str">
        <v>Yes</v>
      </c>
      <c r="Z6" t="str">
        <v>Upcoming (Opens 08 Oct)</v>
      </c>
      <c r="AA6" t="str">
        <v>Pass</v>
      </c>
      <c r="AB6" t="str">
        <v>Upcoming recruitment across 21 RRBs. Badged as Registration Opens 08 Oct 2026.</v>
      </c>
    </row>
    <row r="7">
      <c r="A7" t="str">
        <v>GOVREC-003</v>
      </c>
      <c r="B7" t="str">
        <v>https://nichehire-psi.vercel.app/govt-exams?exam=aai-je-atc-2026</v>
      </c>
      <c r="C7" t="str">
        <v>https://www.aai.aero/en/careers/recruitment</v>
      </c>
      <c r="D7" t="str">
        <v>aai.aero / ibpsreg.ibps.in</v>
      </c>
      <c r="E7" t="str">
        <v>Advt. No. 12/2026/CHQ/DR-CBT</v>
      </c>
      <c r="F7" t="str">
        <v>Junior Executive (Air Traffic Control)</v>
      </c>
      <c r="G7" t="str">
        <v>Airports Authority of India (AAI)</v>
      </c>
      <c r="H7" t="str">
        <v>2026-08-08</v>
      </c>
      <c r="I7" t="str">
        <v>2026-08-08</v>
      </c>
      <c r="J7" t="str">
        <v>2026-09-07</v>
      </c>
      <c r="K7" t="str">
        <v>2026-09-07</v>
      </c>
      <c r="L7" t="str">
        <v>Yes</v>
      </c>
      <c r="M7">
        <v>21</v>
      </c>
      <c r="N7">
        <v>21</v>
      </c>
      <c r="O7">
        <v>27</v>
      </c>
      <c r="P7">
        <v>27</v>
      </c>
      <c r="Q7" t="str">
        <v>Regular B.Sc with Physics &amp; Maths OR B.E./B.Tech in any discipline</v>
      </c>
      <c r="R7" t="str">
        <v>Full Time Regular B.Sc (Physics &amp; Mathematics) or B.E./B.Tech</v>
      </c>
      <c r="S7" t="str">
        <v>₹1000 (UR/EWS/OBC), Exempt (SC/ST/Female)</v>
      </c>
      <c r="T7" t="str">
        <v>₹1000 (UR/OBC), Nil (SC/ST/PWD/Female)</v>
      </c>
      <c r="U7">
        <v>496</v>
      </c>
      <c r="V7">
        <v>496</v>
      </c>
      <c r="W7" t="str">
        <v>Yes</v>
      </c>
      <c r="X7" t="str">
        <v>Yes</v>
      </c>
      <c r="Y7" t="str">
        <v>Yes</v>
      </c>
      <c r="Z7" t="str">
        <v>Archived / Concluded</v>
      </c>
      <c r="AA7" t="str">
        <v>Pass</v>
      </c>
      <c r="AB7" t="str">
        <v>Closed on 07 Sep 2026. Verified against live IBPS application portal screen.</v>
      </c>
    </row>
    <row r="8">
      <c r="A8" t="str">
        <v>GOVREC-004</v>
      </c>
      <c r="B8" t="str">
        <v>https://nichehire-psi.vercel.app/govt-exams?exam=drdo-ceptam-11</v>
      </c>
      <c r="C8" t="str">
        <v>https://www.drdo.gov.in/careers</v>
      </c>
      <c r="D8" t="str">
        <v>drdo.gov.in</v>
      </c>
      <c r="E8" t="str">
        <v>CEPTAM-11/STA-B</v>
      </c>
      <c r="F8" t="str">
        <v>Senior Technical Assistant-B (STA-B) &amp; Technician-A</v>
      </c>
      <c r="G8" t="str">
        <v>Defence Research &amp; Development Organisation</v>
      </c>
      <c r="H8" t="str">
        <v>2025-12-12</v>
      </c>
      <c r="I8" t="str">
        <v>2025-12-12</v>
      </c>
      <c r="J8" t="str">
        <v>2026-01-11</v>
      </c>
      <c r="K8" t="str">
        <v>2026-01-11</v>
      </c>
      <c r="L8" t="str">
        <v>Yes</v>
      </c>
      <c r="M8">
        <v>18</v>
      </c>
      <c r="N8">
        <v>18</v>
      </c>
      <c r="O8">
        <v>28</v>
      </c>
      <c r="P8">
        <v>28</v>
      </c>
      <c r="Q8" t="str">
        <v>B.Sc in Science subjects or 3-year Engineering Diploma</v>
      </c>
      <c r="R8" t="str">
        <v>B.Sc / Diploma in Engineering</v>
      </c>
      <c r="S8" t="str">
        <v>₹100 (UR/OBC), Exempt (SC/ST/Women)</v>
      </c>
      <c r="T8" t="str">
        <v>₹100 (UR/OBC), Nil (SC/ST/Women/ESM)</v>
      </c>
      <c r="U8">
        <v>1061</v>
      </c>
      <c r="V8">
        <v>1061</v>
      </c>
      <c r="W8" t="str">
        <v>Yes</v>
      </c>
      <c r="X8" t="str">
        <v>Yes</v>
      </c>
      <c r="Y8" t="str">
        <v>Yes</v>
      </c>
      <c r="Z8" t="str">
        <v>Archived / Concluded</v>
      </c>
      <c r="AA8" t="str">
        <v>Pass</v>
      </c>
      <c r="AB8" t="str">
        <v>Closed 11-Jan-2026. Tier-II CBT held on 15 June 2026. Correctly placed in Archive.</v>
      </c>
    </row>
    <row r="9">
      <c r="A9" t="str">
        <v>GOVREC-005</v>
      </c>
      <c r="B9" t="str">
        <v>https://nichehire-psi.vercel.app/govt-exams?exam=mppsc-state-service-2026</v>
      </c>
      <c r="C9" t="str">
        <v>https://mppsc.mp.gov.in/advertisement</v>
      </c>
      <c r="D9" t="str">
        <v>mppsc.mp.gov.in</v>
      </c>
      <c r="E9" t="str">
        <v>Advt. No. 29/2025 (SSE 2026 Cycle)</v>
      </c>
      <c r="F9" t="str">
        <v>State Service Examination 2026 (Deputy Collector, DSP, etc.)</v>
      </c>
      <c r="G9" t="str">
        <v>Madhya Pradesh Public Service Commission</v>
      </c>
      <c r="H9" t="str">
        <v>2026-01-19</v>
      </c>
      <c r="I9" t="str">
        <v>2026-01-19</v>
      </c>
      <c r="J9" t="str">
        <v>2026-04-03</v>
      </c>
      <c r="K9" t="str">
        <v>2026-04-03</v>
      </c>
      <c r="L9" t="str">
        <v>Yes</v>
      </c>
      <c r="M9">
        <v>21</v>
      </c>
      <c r="N9">
        <v>21</v>
      </c>
      <c r="O9">
        <v>40</v>
      </c>
      <c r="P9">
        <v>40</v>
      </c>
      <c r="Q9" t="str">
        <v>Graduate Degree in any discipline from recognized university</v>
      </c>
      <c r="R9" t="str">
        <v>Bachelor degree in any stream</v>
      </c>
      <c r="S9" t="str">
        <v>₹500 (Out-of-state/UR), ₹250 (MP SC/ST/OBC)</v>
      </c>
      <c r="T9" t="str">
        <v>₹500 (Others), ₹250 (MP domicile reserved)</v>
      </c>
      <c r="U9">
        <v>110</v>
      </c>
      <c r="V9">
        <v>110</v>
      </c>
      <c r="W9" t="str">
        <v>Yes</v>
      </c>
      <c r="X9" t="str">
        <v>Yes</v>
      </c>
      <c r="Y9" t="str">
        <v>Yes</v>
      </c>
      <c r="Z9" t="str">
        <v>Archived / Concluded</v>
      </c>
      <c r="AA9" t="str">
        <v>Pass</v>
      </c>
      <c r="AB9" t="str">
        <v>Closed 03-Apr-2026. Preliminary held 23-Jun-2026.</v>
      </c>
    </row>
    <row r="10">
      <c r="A10" t="str">
        <v>GOVREC-006</v>
      </c>
      <c r="B10" t="str">
        <v>https://nichehire-psi.vercel.app/govt-exams?exam=bhel-et-2026</v>
      </c>
      <c r="C10" t="str">
        <v>https://careers.bhel.in</v>
      </c>
      <c r="D10" t="str">
        <v>careers.bhel.in</v>
      </c>
      <c r="E10" t="str">
        <v>Advt. No. 01/2025 (ET-2025/26)</v>
      </c>
      <c r="F10" t="str">
        <v>Engineer / Executive Trainee (Civil/Mech/Elec/Finance/HR)</v>
      </c>
      <c r="G10" t="str">
        <v>Bharat Heavy Electricals Limited (BHEL)</v>
      </c>
      <c r="H10" t="str">
        <v>2025-01-10</v>
      </c>
      <c r="I10" t="str">
        <v>2025-01-10</v>
      </c>
      <c r="J10" t="str">
        <v>2025-02-14</v>
      </c>
      <c r="K10" t="str">
        <v>2025-02-14</v>
      </c>
      <c r="L10" t="str">
        <v>Yes</v>
      </c>
      <c r="M10">
        <v>21</v>
      </c>
      <c r="N10">
        <v>21</v>
      </c>
      <c r="O10">
        <v>27</v>
      </c>
      <c r="P10">
        <v>27</v>
      </c>
      <c r="Q10" t="str">
        <v>Full-time Bachelor Degree in Engineering/Technology</v>
      </c>
      <c r="R10" t="str">
        <v>Engineering Degree / PG in HR / CA/ICWA</v>
      </c>
      <c r="S10" t="str">
        <v>₹500 (UR/EWS/OBC), ₹200 (SC/ST/PwBD)</v>
      </c>
      <c r="T10" t="str">
        <v>₹500 + processing fee</v>
      </c>
      <c r="U10">
        <v>400</v>
      </c>
      <c r="V10">
        <v>400</v>
      </c>
      <c r="W10" t="str">
        <v>Yes</v>
      </c>
      <c r="X10" t="str">
        <v>Yes</v>
      </c>
      <c r="Y10" t="str">
        <v>Yes</v>
      </c>
      <c r="Z10" t="str">
        <v>Archived / Concluded</v>
      </c>
      <c r="AA10" t="str">
        <v>Pass</v>
      </c>
      <c r="AB10" t="str">
        <v>Concluded recruitment; placed in Archive view.</v>
      </c>
    </row>
    <row r="11">
      <c r="A11" t="str">
        <v>GOVREC-007</v>
      </c>
      <c r="B11" t="str">
        <v>https://nichehire-psi.vercel.app/govt-exams?exam=ongc-gt-2026</v>
      </c>
      <c r="C11" t="str">
        <v>https://ongcindia.com/web/eng/career</v>
      </c>
      <c r="D11" t="str">
        <v>ongcindia.com</v>
      </c>
      <c r="E11" t="str">
        <v>Advt. No. 03/2026/GT</v>
      </c>
      <c r="F11" t="str">
        <v>Graduate Trainee in Engineering &amp; Geo-Sciences (Class-I)</v>
      </c>
      <c r="G11" t="str">
        <v>Oil and Natural Gas Corporation (ONGC)</v>
      </c>
      <c r="H11" t="str">
        <v>2026-07-01</v>
      </c>
      <c r="I11" t="str">
        <v>2026-07-01</v>
      </c>
      <c r="J11" t="str">
        <v>2026-07-31</v>
      </c>
      <c r="K11" t="str">
        <v>2026-07-31</v>
      </c>
      <c r="L11" t="str">
        <v>Yes</v>
      </c>
      <c r="M11">
        <v>21</v>
      </c>
      <c r="N11">
        <v>21</v>
      </c>
      <c r="O11">
        <v>30</v>
      </c>
      <c r="P11">
        <v>30</v>
      </c>
      <c r="Q11" t="str">
        <v>Graduate Degree in Engineering (minimum 60% marks)</v>
      </c>
      <c r="R11" t="str">
        <v>Engineering Degree / M.Sc in Geo-Sciences</v>
      </c>
      <c r="S11" t="str">
        <v>₹300 (UR/EWS/OBC), Exempt (SC/ST/PwBD)</v>
      </c>
      <c r="T11" t="str">
        <v>₹300 (General/OBC), Nil (Reserved)</v>
      </c>
      <c r="U11">
        <v>280</v>
      </c>
      <c r="V11">
        <v>280</v>
      </c>
      <c r="W11" t="str">
        <v>Yes</v>
      </c>
      <c r="X11" t="str">
        <v>Yes</v>
      </c>
      <c r="Y11" t="str">
        <v>Yes</v>
      </c>
      <c r="Z11" t="str">
        <v>Archived / Concluded</v>
      </c>
      <c r="AA11" t="str">
        <v>Pass</v>
      </c>
      <c r="AB11" t="str">
        <v>CBT conducted on 06 September 2026. Correctly placed in Archive.</v>
      </c>
    </row>
    <row r="12">
      <c r="A12" t="str">
        <v>GOVREC-008</v>
      </c>
      <c r="B12" t="str">
        <v>https://nichehire-psi.vercel.app/govt-exams?exam=ntpc-eet-2026</v>
      </c>
      <c r="C12" t="str">
        <v>https://careers.ntpc.co.in</v>
      </c>
      <c r="D12" t="str">
        <v>careers.ntpc.co.in</v>
      </c>
      <c r="E12" t="str">
        <v>Advt. No. 07/26</v>
      </c>
      <c r="F12" t="str">
        <v>Engineering Executive Trainee (EET-2026)</v>
      </c>
      <c r="G12" t="str">
        <v>NTPC Limited</v>
      </c>
      <c r="H12" t="str">
        <v>2026-05-09</v>
      </c>
      <c r="I12" t="str">
        <v>2026-05-09</v>
      </c>
      <c r="J12" t="str">
        <v>2026-05-29</v>
      </c>
      <c r="K12" t="str">
        <v>2026-05-29</v>
      </c>
      <c r="L12" t="str">
        <v>Yes</v>
      </c>
      <c r="M12">
        <v>21</v>
      </c>
      <c r="N12">
        <v>21</v>
      </c>
      <c r="O12">
        <v>27</v>
      </c>
      <c r="P12">
        <v>27</v>
      </c>
      <c r="Q12" t="str">
        <v>Full time Bachelor Degree in Engineering/Technology (65%+)</v>
      </c>
      <c r="R12" t="str">
        <v>B.E./B.Tech with 65% aggregate</v>
      </c>
      <c r="S12" t="str">
        <v>₹300 (UR/EWS/OBC), Nil (SC/ST/PwBD/XSM)</v>
      </c>
      <c r="T12" t="str">
        <v>₹300 (General/EWS/OBC)</v>
      </c>
      <c r="U12">
        <v>280</v>
      </c>
      <c r="V12">
        <v>280</v>
      </c>
      <c r="W12" t="str">
        <v>Yes</v>
      </c>
      <c r="X12" t="str">
        <v>Yes</v>
      </c>
      <c r="Y12" t="str">
        <v>Yes</v>
      </c>
      <c r="Z12" t="str">
        <v>Archived / Concluded</v>
      </c>
      <c r="AA12" t="str">
        <v>Pass</v>
      </c>
      <c r="AB12" t="str">
        <v>Closed on 29 May 2026. Correctly placed in Archive.</v>
      </c>
    </row>
    <row r="13">
      <c r="A13" t="str">
        <v>GOVREC-009</v>
      </c>
      <c r="AA13" t="str">
        <v>Not Run</v>
      </c>
    </row>
    <row r="14">
      <c r="A14" t="str">
        <v>GOVREC-010</v>
      </c>
      <c r="AA14" t="str">
        <v>Not Run</v>
      </c>
    </row>
    <row r="15">
      <c r="A15" t="str">
        <v>GOVREC-011</v>
      </c>
      <c r="AA15" t="str">
        <v>Not Run</v>
      </c>
    </row>
    <row r="16">
      <c r="A16" t="str">
        <v>GOVREC-012</v>
      </c>
      <c r="AA16" t="str">
        <v>Not Run</v>
      </c>
    </row>
    <row r="17">
      <c r="A17" t="str">
        <v>GOVREC-013</v>
      </c>
      <c r="AA17" t="str">
        <v>Not Run</v>
      </c>
    </row>
    <row r="18">
      <c r="A18" t="str">
        <v>GOVREC-014</v>
      </c>
      <c r="AA18" t="str">
        <v>Not Run</v>
      </c>
    </row>
    <row r="19">
      <c r="A19" t="str">
        <v>GOVREC-015</v>
      </c>
      <c r="AA19" t="str">
        <v>Not Run</v>
      </c>
    </row>
    <row r="20">
      <c r="A20" t="str">
        <v>GOVREC-016</v>
      </c>
      <c r="AA20" t="str">
        <v>Not Run</v>
      </c>
    </row>
    <row r="21">
      <c r="A21" t="str">
        <v>GOVREC-017</v>
      </c>
      <c r="AA21" t="str">
        <v>Not Run</v>
      </c>
    </row>
    <row r="22">
      <c r="A22" t="str">
        <v>GOVREC-018</v>
      </c>
      <c r="AA22" t="str">
        <v>Not Run</v>
      </c>
    </row>
    <row r="23">
      <c r="A23" t="str">
        <v>GOVREC-019</v>
      </c>
      <c r="AA23" t="str">
        <v>Not Run</v>
      </c>
    </row>
    <row r="24">
      <c r="A24" t="str">
        <v>GOVREC-020</v>
      </c>
      <c r="AA24" t="str">
        <v>Not Run</v>
      </c>
    </row>
    <row r="25">
      <c r="A25" t="str">
        <v>GOVREC-021</v>
      </c>
      <c r="AA25" t="str">
        <v>Not Run</v>
      </c>
    </row>
    <row r="26">
      <c r="A26" t="str">
        <v>GOVREC-022</v>
      </c>
      <c r="AA26" t="str">
        <v>Not Run</v>
      </c>
    </row>
    <row r="27">
      <c r="A27" t="str">
        <v>GOVREC-023</v>
      </c>
      <c r="AA27" t="str">
        <v>Not Run</v>
      </c>
    </row>
    <row r="28">
      <c r="A28" t="str">
        <v>GOVREC-024</v>
      </c>
      <c r="AA28" t="str">
        <v>Not Run</v>
      </c>
    </row>
    <row r="29">
      <c r="A29" t="str">
        <v>GOVREC-025</v>
      </c>
      <c r="AA29" t="str">
        <v>Not Run</v>
      </c>
    </row>
    <row r="30">
      <c r="A30" t="str">
        <v>GOVREC-026</v>
      </c>
      <c r="AA30" t="str">
        <v>Not Run</v>
      </c>
    </row>
    <row r="31">
      <c r="A31" t="str">
        <v>GOVREC-027</v>
      </c>
      <c r="AA31" t="str">
        <v>Not Run</v>
      </c>
    </row>
    <row r="32">
      <c r="A32" t="str">
        <v>GOVREC-028</v>
      </c>
      <c r="AA32" t="str">
        <v>Not Run</v>
      </c>
    </row>
    <row r="33">
      <c r="A33" t="str">
        <v>GOVREC-029</v>
      </c>
      <c r="AA33" t="str">
        <v>Not Run</v>
      </c>
    </row>
    <row r="34">
      <c r="A34" t="str">
        <v>GOVREC-030</v>
      </c>
      <c r="AA34" t="str">
        <v>Not Run</v>
      </c>
    </row>
    <row r="35">
      <c r="A35" t="str">
        <v>GOVREC-031</v>
      </c>
      <c r="AA35" t="str">
        <v>Not Run</v>
      </c>
    </row>
    <row r="36">
      <c r="A36" t="str">
        <v>GOVREC-032</v>
      </c>
      <c r="AA36" t="str">
        <v>Not Run</v>
      </c>
    </row>
    <row r="37">
      <c r="A37" t="str">
        <v>GOVREC-033</v>
      </c>
      <c r="AA37" t="str">
        <v>Not Run</v>
      </c>
    </row>
    <row r="38">
      <c r="A38" t="str">
        <v>GOVREC-034</v>
      </c>
      <c r="AA38" t="str">
        <v>Not Run</v>
      </c>
    </row>
    <row r="39">
      <c r="A39" t="str">
        <v>GOVREC-035</v>
      </c>
      <c r="AA39" t="str">
        <v>Not Run</v>
      </c>
    </row>
    <row r="40">
      <c r="A40" t="str">
        <v>GOVREC-036</v>
      </c>
      <c r="AA40" t="str">
        <v>Not Run</v>
      </c>
    </row>
    <row r="41">
      <c r="A41" t="str">
        <v>GOVREC-037</v>
      </c>
      <c r="AA41" t="str">
        <v>Not Run</v>
      </c>
    </row>
    <row r="42">
      <c r="A42" t="str">
        <v>GOVREC-038</v>
      </c>
      <c r="AA42" t="str">
        <v>Not Run</v>
      </c>
    </row>
    <row r="43">
      <c r="A43" t="str">
        <v>GOVREC-039</v>
      </c>
      <c r="AA43" t="str">
        <v>Not Run</v>
      </c>
    </row>
    <row r="44">
      <c r="A44" t="str">
        <v>GOVREC-040</v>
      </c>
      <c r="AA44" t="str">
        <v>Not Run</v>
      </c>
    </row>
    <row r="45">
      <c r="A45" t="str">
        <v>GOVREC-041</v>
      </c>
      <c r="AA45" t="str">
        <v>Not Run</v>
      </c>
    </row>
    <row r="46">
      <c r="A46" t="str">
        <v>GOVREC-042</v>
      </c>
      <c r="AA46" t="str">
        <v>Not Run</v>
      </c>
    </row>
    <row r="47">
      <c r="A47" t="str">
        <v>GOVREC-043</v>
      </c>
      <c r="AA47" t="str">
        <v>Not Run</v>
      </c>
    </row>
    <row r="48">
      <c r="A48" t="str">
        <v>GOVREC-044</v>
      </c>
      <c r="AA48" t="str">
        <v>Not Run</v>
      </c>
    </row>
    <row r="49">
      <c r="A49" t="str">
        <v>GOVREC-045</v>
      </c>
      <c r="AA49" t="str">
        <v>Not Run</v>
      </c>
    </row>
    <row r="50">
      <c r="A50" t="str">
        <v>GOVREC-046</v>
      </c>
      <c r="AA50" t="str">
        <v>Not Run</v>
      </c>
    </row>
    <row r="51">
      <c r="A51" t="str">
        <v>GOVREC-047</v>
      </c>
      <c r="AA51" t="str">
        <v>Not Run</v>
      </c>
    </row>
    <row r="52">
      <c r="A52" t="str">
        <v>GOVREC-048</v>
      </c>
      <c r="AA52" t="str">
        <v>Not Run</v>
      </c>
    </row>
    <row r="53">
      <c r="A53" t="str">
        <v>GOVREC-049</v>
      </c>
      <c r="AA53" t="str">
        <v>Not Run</v>
      </c>
    </row>
    <row r="54">
      <c r="A54" t="str">
        <v>GOVREC-050</v>
      </c>
      <c r="AA54" t="str">
        <v>Not Run</v>
      </c>
    </row>
  </sheetData>
  <mergeCells count="2">
    <mergeCell ref="A1:AB1"/>
    <mergeCell ref="A2:AB2"/>
  </mergeCells>
  <pageMargins left="0.7" right="0.7" top="0.75" bottom="0.75" header="0.3" footer="0.3"/>
  <ignoredErrors>
    <ignoredError numberStoredAsText="1" sqref="A1:AB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04"/>
  <sheetViews>
    <sheetView workbookViewId="0" rightToLeft="0"/>
  </sheetViews>
  <sheetData>
    <row r="1">
      <c r="A1" t="str">
        <v>Bug / Defect Log</v>
      </c>
    </row>
    <row r="2">
      <c r="A2" t="str">
        <v>Create one row per unique defect. Keep the bug title concise, but make the reproduction steps detailed enough for another tester/developer to reproduce the issue.</v>
      </c>
    </row>
    <row r="4">
      <c r="A4" t="str">
        <v>Bug ID</v>
      </c>
      <c r="B4" t="str">
        <v>Date Found</v>
      </c>
      <c r="C4" t="str">
        <v>Module</v>
      </c>
      <c r="D4" t="str">
        <v>Feature</v>
      </c>
      <c r="E4" t="str">
        <v>Summary / Title</v>
      </c>
      <c r="F4" t="str">
        <v>Environment / Build</v>
      </c>
      <c r="G4" t="str">
        <v>Preconditions</v>
      </c>
      <c r="H4" t="str">
        <v>Steps to Reproduce</v>
      </c>
      <c r="I4" t="str">
        <v>Expected Result</v>
      </c>
      <c r="J4" t="str">
        <v>Actual Result</v>
      </c>
      <c r="K4" t="str">
        <v>Severity</v>
      </c>
      <c r="L4" t="str">
        <v>Priority</v>
      </c>
      <c r="M4" t="str">
        <v>Evidence / Link</v>
      </c>
      <c r="N4" t="str">
        <v>Source URL (if any)</v>
      </c>
      <c r="O4" t="str">
        <v>X Job URL (if any)</v>
      </c>
      <c r="P4" t="str">
        <v>Status</v>
      </c>
      <c r="Q4" t="str">
        <v>Notes</v>
      </c>
    </row>
    <row r="5">
      <c r="A5" t="str">
        <v>BUG-001</v>
      </c>
      <c r="B5" t="str">
        <v>2026-09-27</v>
      </c>
      <c r="C5" t="str">
        <v>Authentication</v>
      </c>
      <c r="D5" t="str">
        <v>OTP Delivery via SMS &amp; Email (AUTH-001)</v>
      </c>
      <c r="E5" t="str">
        <v>Outbound OTP SMS and Email not arriving on live production deployment (Poli Bhai report)</v>
      </c>
      <c r="F5" t="str">
        <v>Production (nichehire-psi.vercel.app)</v>
      </c>
      <c r="G5" t="str">
        <v>User initiates login/signup with valid phone (+91) or personal email</v>
      </c>
      <c r="H5" t="str">
        <v>1. Open Login modal. 2. Enter mobile number or email. 3. Click Send OTP.</v>
      </c>
      <c r="I5" t="str">
        <v>6-digit OTP code delivers to user SMS or email within 30 seconds.</v>
      </c>
      <c r="J5" t="str">
        <v>No OTP received on test device/email. Live provider keys (Twilio/Resend) unconfigured in production environment.</v>
      </c>
      <c r="K5" t="str">
        <v>High</v>
      </c>
      <c r="L5" t="str">
        <v>High</v>
      </c>
      <c r="M5" t="str">
        <v>/api/auth/otp/send</v>
      </c>
      <c r="N5" t="str">
        <v/>
      </c>
      <c r="O5" t="str">
        <v/>
      </c>
      <c r="P5" t="str">
        <v>Assigned</v>
      </c>
      <c r="Q5" t="str">
        <v>Reported by tester Poli Bhai; phone balance verified. Production outbound transport keys need configuration in Vercel.</v>
      </c>
    </row>
    <row r="6">
      <c r="A6" t="str">
        <v>BUG-002</v>
      </c>
      <c r="B6" t="str">
        <v>2026-09-27</v>
      </c>
      <c r="C6" t="str">
        <v>Job Search</v>
      </c>
      <c r="D6" t="str">
        <v>Keyword Search with Underscores (SRCH-004)</v>
      </c>
      <c r="E6" t="str">
        <v>Search query containing underscores returned disparate results vs spaced query</v>
      </c>
      <c r="F6" t="str">
        <v>Production (nichehire-psi.vercel.app)</v>
      </c>
      <c r="G6" t="str">
        <v>Job search input active</v>
      </c>
      <c r="H6" t="str">
        <v>1. Search "digital_marketing". 2. Compare to search "digital marketing".</v>
      </c>
      <c r="I6" t="str">
        <v>Both queries normalized and yield identical relevant listings.</v>
      </c>
      <c r="J6" t="str">
        <v>Underscore treated as literal character causing query mismatch.</v>
      </c>
      <c r="K6" t="str">
        <v>Medium</v>
      </c>
      <c r="L6" t="str">
        <v>Medium</v>
      </c>
      <c r="M6" t="str">
        <v>/api/jobs/search</v>
      </c>
      <c r="N6" t="str">
        <v/>
      </c>
      <c r="O6" t="str">
        <v/>
      </c>
      <c r="P6" t="str">
        <v>Closed</v>
      </c>
      <c r="Q6" t="str">
        <v>Fixed via regex normalization in app/api/jobs/search/route.ts. Verified Pass in RETEST-001.</v>
      </c>
    </row>
    <row r="7">
      <c r="A7" t="str">
        <v>BUG-003</v>
      </c>
      <c r="B7" t="str">
        <v>2026-09-27</v>
      </c>
      <c r="C7" t="str">
        <v>Job Search</v>
      </c>
      <c r="D7" t="str">
        <v>Nonsense Search Query Empty State (SRCH-007)</v>
      </c>
      <c r="E7" t="str">
        <v>Gibberish search query (e.g. "ABCD", "gfguy") still returned irrelevant job cards</v>
      </c>
      <c r="F7" t="str">
        <v>Production (nichehire-psi.vercel.app)</v>
      </c>
      <c r="G7" t="str">
        <v>Job search input active</v>
      </c>
      <c r="H7" t="str">
        <v>1. Enter nonsense characters "ABCD" or "gfguy". 2. Submit search.</v>
      </c>
      <c r="I7" t="str">
        <v>Zero matching jobs returned with clean empty state and helpful recovery chips.</v>
      </c>
      <c r="J7" t="str">
        <v>Fuzzy match was loosely matching partial letters and returning arbitrary job cards.</v>
      </c>
      <c r="K7" t="str">
        <v>Medium</v>
      </c>
      <c r="L7" t="str">
        <v>Medium</v>
      </c>
      <c r="M7" t="str">
        <v>/api/jobs/search</v>
      </c>
      <c r="N7" t="str">
        <v/>
      </c>
      <c r="O7" t="str">
        <v/>
      </c>
      <c r="P7" t="str">
        <v>Closed</v>
      </c>
      <c r="Q7" t="str">
        <v>Fixed with strict token matching threshold and dedicated empty state. Verified Pass in RETEST-002.</v>
      </c>
    </row>
    <row r="8">
      <c r="A8" t="str">
        <v>BUG-004</v>
      </c>
      <c r="B8" t="str">
        <v>2026-09-27</v>
      </c>
      <c r="C8" t="str">
        <v>Government Jobs</v>
      </c>
      <c r="D8" t="str">
        <v>Unauthorized Profile Prefill on /govt-exams (GOV-012, GOV-027)</v>
      </c>
      <c r="E8" t="str">
        <v>First-time anonymous visitor saw Bihar/Muzaffarpur prefilled and was marked Ineligible without entering data</v>
      </c>
      <c r="F8" t="str">
        <v>Production (nichehire-psi.vercel.app)</v>
      </c>
      <c r="G8" t="str">
        <v>Anonymous visitor without resume or profile</v>
      </c>
      <c r="H8" t="str">
        <v>1. Open incognito tab. 2. Navigate to /govt-exams.</v>
      </c>
      <c r="I8" t="str">
        <v>Neutral unconfigured state with prompt "Upload resume to check eligibility"; zero location prefill.</v>
      </c>
      <c r="J8" t="str">
        <v>Seed/demo profile prefilled candidate state as Bihar and district as Muzaffarpur, marking user ineligible.</v>
      </c>
      <c r="K8" t="str">
        <v>Critical</v>
      </c>
      <c r="L8" t="str">
        <v>Critical</v>
      </c>
      <c r="M8" t="str">
        <v>/govt-exams</v>
      </c>
      <c r="N8" t="str">
        <v/>
      </c>
      <c r="O8" t="str">
        <v/>
      </c>
      <c r="P8" t="str">
        <v>Closed</v>
      </c>
      <c r="Q8" t="str">
        <v>Fixed by clearing default candidate object and establishing isConfigured: false guard until explicit resume upload. Verified Pass in RETEST-003.</v>
      </c>
    </row>
    <row r="9">
      <c r="A9" t="str">
        <v>BUG-005</v>
      </c>
      <c r="B9" t="str">
        <v>2026-09-28</v>
      </c>
      <c r="C9" t="str">
        <v>Government Jobs</v>
      </c>
      <c r="D9" t="str">
        <v>Simulated Deadlines in Government Exams Feed (GOV-007, GOV-028)</v>
      </c>
      <c r="E9" t="str">
        <v>AAI ATC displayed false "Closes Today! 28 Sep 2026" deadline; DRDO CEPTAM showed "11d left"</v>
      </c>
      <c r="F9" t="str">
        <v>Production (nichehire-psi.vercel.app)</v>
      </c>
      <c r="G9" t="str">
        <v>Navigate to /govt-exams active feed</v>
      </c>
      <c r="H9" t="str">
        <v>1. Inspect Airports Authority of India ATC card. 2. Verify with official IBPS portal.</v>
      </c>
      <c r="I9" t="str">
        <v>Card accurately reflects application closed on 07 September 2026 in Archive.</v>
      </c>
      <c r="J9" t="str">
        <v>Card displayed simulated deadline of 28 Sep 2026 triggering false "Closes Today!" badge.</v>
      </c>
      <c r="K9" t="str">
        <v>Critical</v>
      </c>
      <c r="L9" t="str">
        <v>Critical</v>
      </c>
      <c r="M9" t="str">
        <v>/govt-exams, ibpsreg.ibps.in/aaioct25/</v>
      </c>
      <c r="N9" t="str">
        <v>https://ibpsreg.ibps.in/aaioct25/</v>
      </c>
      <c r="O9" t="str">
        <v>https://nichehire-psi.vercel.app/govt-exams</v>
      </c>
      <c r="P9" t="str">
        <v>Closed</v>
      </c>
      <c r="Q9" t="str">
        <v>All 29 exams audited against official gazettes. AAI ATC updated to Advt 12/2026 closed 07-Sep-2026; DRDO closed 11-Jan-2026; UKPSC PCS active. Verified Pass in RETEST-004.</v>
      </c>
    </row>
    <row r="10">
      <c r="A10" t="str">
        <v>BUG-006</v>
      </c>
      <c r="B10" t="str">
        <v>2026-09-28</v>
      </c>
      <c r="C10" t="str">
        <v>Admin / Employer</v>
      </c>
      <c r="D10" t="str">
        <v>Job Listing Email Verification (ADM-002)</v>
      </c>
      <c r="E10" t="str">
        <v>Employer job listing form accepts arbitrary contact email without verification challenge</v>
      </c>
      <c r="F10" t="str">
        <v>Production (nichehire-psi.vercel.app)</v>
      </c>
      <c r="G10" t="str">
        <v>Employer creating new job opening</v>
      </c>
      <c r="H10" t="str">
        <v>1. Log into Employer dashboard. 2. Enter a contact email different from employer account email. 3. Submit job.</v>
      </c>
      <c r="I10" t="str">
        <v>System verifies contact email via OTP challenge before public listing unless it matches employer login email.</v>
      </c>
      <c r="J10" t="str">
        <v>System accepts job listing without verifying ownership of secondary/arbitrary email address.</v>
      </c>
      <c r="K10" t="str">
        <v>High</v>
      </c>
      <c r="L10" t="str">
        <v>High</v>
      </c>
      <c r="M10" t="str">
        <v>app/employer/dashboard/page.tsx</v>
      </c>
      <c r="N10" t="str">
        <v/>
      </c>
      <c r="O10" t="str">
        <v>https://nichehire-psi.vercel.app/employer/dashboard</v>
      </c>
      <c r="P10" t="str">
        <v>New</v>
      </c>
      <c r="Q10" t="str">
        <v>Reported by user. If contact email matches employer login email, bypass is fine; otherwise require OTP verification. Must also support personal emails (Gmail, Yahoo, etc.).</v>
      </c>
    </row>
    <row r="11">
      <c r="A11" t="str">
        <v>BUG-007</v>
      </c>
      <c r="B11" t="str">
        <v>2026-09-28</v>
      </c>
      <c r="C11" t="str">
        <v>Government Jobs</v>
      </c>
      <c r="D11" t="str">
        <v>Days-Left Countdown &amp; Client Clock Skew (GOV-031)</v>
      </c>
      <c r="E11" t="str">
        <v>Days-left countdown relies on unanchored client clock causing expired exams to show active countdowns</v>
      </c>
      <c r="F11" t="str">
        <v>Production (nichehire-psi.vercel.app)</v>
      </c>
      <c r="G11" t="str">
        <v>Candidate viewing government exams feed on browser with real-world system clock or outside IST timezone</v>
      </c>
      <c r="H11" t="str">
        <v>1. Navigate to /govt-exams in browser. 2. Observe status badge on AAI ATC and DRDO CEPTAM cards. 3. Check days left calculation.</v>
      </c>
      <c r="I11" t="str">
        <v>Past-deadline exams display "Closed on [Date]"; countdown accurately checks deadline against authentic server/IST calendar.</v>
      </c>
      <c r="J11" t="str">
        <v>Exams display "Open (365d left)" with active countdown badge because target 2026 midnight is compared against client machine date, evaluating diffDays &gt; 0.</v>
      </c>
      <c r="K11" t="str">
        <v>High</v>
      </c>
      <c r="L11" t="str">
        <v>High</v>
      </c>
      <c r="M11" t="str">
        <v>app/govt-exams/page.tsx:343-353, app/page.tsx:836-844</v>
      </c>
      <c r="N11" t="str">
        <v>https://nichehire-psi.vercel.app/govt-exams</v>
      </c>
      <c r="O11" t="str">
        <v/>
      </c>
      <c r="P11" t="str">
        <v>New</v>
      </c>
      <c r="Q11" t="str">
        <v>Reported by tester. In production, AAI and DRDO displayed active countdowns rather than closed state due to unanchored client Date.now() / new Date() evaluation.</v>
      </c>
    </row>
    <row r="12">
      <c r="A12" t="str">
        <v>BUG-008</v>
      </c>
      <c r="B12" t="str">
        <v>2026-09-28</v>
      </c>
      <c r="C12" t="str">
        <v>Government Jobs</v>
      </c>
      <c r="D12" t="str">
        <v>Active Openings Counter Includes Closed Exams (GOV-032)</v>
      </c>
      <c r="E12" t="str">
        <v>Active openings header counter in telemetry strip includes past-deadline notifications</v>
      </c>
      <c r="F12" t="str">
        <v>Production (nichehire-psi.vercel.app)</v>
      </c>
      <c r="G12" t="str">
        <v>Government exams portal loaded with mix of active, upcoming, and past-deadline exams</v>
      </c>
      <c r="H12" t="str">
        <v>1. Load /govt-exams. 2. Inspect "Active Openings (N)" toggle badge in telemetry strip. 3. Compare count against truly active exam listings.</v>
      </c>
      <c r="I12" t="str">
        <v>Active Openings counter strictly counts exams whose applyEndDate &gt;= today; closed notifications increment "Archived &amp; Past".</v>
      </c>
      <c r="J12" t="str">
        <v>Telemetry activeExams filter includes closed notifications whose deadline check failed or drifted, inflating the active count and rendering closed cards in the active view.</v>
      </c>
      <c r="K12" t="str">
        <v>High</v>
      </c>
      <c r="L12" t="str">
        <v>High</v>
      </c>
      <c r="M12" t="str">
        <v>app/govt-exams/page.tsx:385, 899</v>
      </c>
      <c r="N12" t="str">
        <v>https://nichehire-psi.vercel.app/govt-exams</v>
      </c>
      <c r="O12" t="str">
        <v/>
      </c>
      <c r="P12" t="str">
        <v>New</v>
      </c>
      <c r="Q12" t="str">
        <v>Reported by tester. Active openings count included closed exams, causing dissonance between advertised openings and actual active application windows.</v>
      </c>
    </row>
    <row r="13">
      <c r="A13" t="str">
        <v>BUG-009</v>
      </c>
      <c r="B13" t="str">
        <v>2026-09-28</v>
      </c>
      <c r="C13" t="str">
        <v>Job Search</v>
      </c>
      <c r="D13" t="str">
        <v>Applicant Metric Integrity vs Zero Fake Claim (SRCH-031)</v>
      </c>
      <c r="E13" t="str">
        <v>Search UI retains synthetic "Applicants" filter (&lt;10, &lt;25) and "Early applicant" badges despite "Zero Fake Data" guarantee</v>
      </c>
      <c r="F13" t="str">
        <v>Production (nichehire-psi.vercel.app)</v>
      </c>
      <c r="G13" t="str">
        <v>Candidate searching jobs on homepage / search page</v>
      </c>
      <c r="H13" t="str">
        <v>1. Inspect search filter dropdown "Applicants". 2. Select "Early Bird (&lt; 10)" or "Under 25". 3. Open job details modal for listings without applicant telemetry.</v>
      </c>
      <c r="I13" t="str">
        <v>Platform claiming "Zero Fake Data Guarantee: Real applicants only" should not expose simulated applicant filter brackets or generate synthetic "Early applicant" badges for unverified aggregator/portal jobs.</v>
      </c>
      <c r="J13" t="str">
        <v>Search filter bar retains "Applicants" filter with arbitrary categories (&lt;10, &lt;25, &lt;50) and job details drawer renders synthetic fallback badge "Early applicant" when applicant count is missing.</v>
      </c>
      <c r="K13" t="str">
        <v>Medium</v>
      </c>
      <c r="L13" t="str">
        <v>Medium</v>
      </c>
      <c r="M13" t="str">
        <v>app/page.tsx:886-892, 2177, CHANGELOG_3_DAYS.md:23</v>
      </c>
      <c r="N13" t="str">
        <v>https://nichehire-psi.vercel.app</v>
      </c>
      <c r="O13" t="str">
        <v/>
      </c>
      <c r="P13" t="str">
        <v>New</v>
      </c>
      <c r="Q13" t="str">
        <v>Reported by tester. Direct conflict between marketing claim of "Zero Fake Data" and UI presence of simulated applicant filter buckets and placeholder badges.</v>
      </c>
    </row>
    <row r="14">
      <c r="A14" t="str">
        <v>BUG-010</v>
      </c>
      <c r="B14" t="str">
        <v>2026-09-28</v>
      </c>
      <c r="C14" t="str">
        <v>Government Jobs</v>
      </c>
      <c r="D14" t="str">
        <v>Airports Authority Statutory Name Typo (GOV-033)</v>
      </c>
      <c r="E14" t="str">
        <v>Conducting body and section text displays "Airport Authority of India" missing the plural 's'</v>
      </c>
      <c r="F14" t="str">
        <v>Production (nichehire-psi.vercel.app)</v>
      </c>
      <c r="G14" t="str">
        <v>Candidate browsing PSU openings on /govt-exams</v>
      </c>
      <c r="H14" t="str">
        <v>1. Navigate to /govt-exams. 2. Inspect Tier 4 PSU description and conducting body headers for AAI.</v>
      </c>
      <c r="I14" t="str">
        <v>Statutory body rendered accurately as "Airports Authority of India (AAI)".</v>
      </c>
      <c r="J14" t="str">
        <v>Rendered as "Airport Authority of India (AAI)" omitting the statutory 's' in Airports.</v>
      </c>
      <c r="K14" t="str">
        <v>Low</v>
      </c>
      <c r="L14" t="str">
        <v>Low</v>
      </c>
      <c r="M14" t="str">
        <v>app/govt-exams/page.tsx:662</v>
      </c>
      <c r="N14" t="str">
        <v>https://nichehire-psi.vercel.app/govt-exams</v>
      </c>
      <c r="O14" t="str">
        <v/>
      </c>
      <c r="P14" t="str">
        <v>New</v>
      </c>
      <c r="Q14" t="str">
        <v>Reported by tester. Minor grammatical/statutory discrepancy in PSU banner copy.</v>
      </c>
    </row>
  </sheetData>
  <mergeCells count="2">
    <mergeCell ref="A1:Q1"/>
    <mergeCell ref="A2:Q2"/>
  </mergeCells>
  <pageMargins left="0.7" right="0.7" top="0.75" bottom="0.75" header="0.3" footer="0.3"/>
  <ignoredErrors>
    <ignoredError numberStoredAsText="1" sqref="A1:Q10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4"/>
  <sheetViews>
    <sheetView workbookViewId="0" rightToLeft="0"/>
  </sheetViews>
  <sheetData>
    <row r="1">
      <c r="A1" t="str">
        <v>Retest &amp; Regression Log</v>
      </c>
    </row>
    <row r="2">
      <c r="A2" t="str">
        <v>Use this after a defect is fixed. Retest the original bug first, then record regression checks for the areas that could have been affected.</v>
      </c>
    </row>
    <row r="4">
      <c r="A4" t="str">
        <v>Retest ID</v>
      </c>
      <c r="B4" t="str">
        <v>Bug ID</v>
      </c>
      <c r="C4" t="str">
        <v>Build / Release</v>
      </c>
      <c r="D4" t="str">
        <v>Fix Description</v>
      </c>
      <c r="E4" t="str">
        <v>Retest Steps</v>
      </c>
      <c r="F4" t="str">
        <v>Expected Result</v>
      </c>
      <c r="G4" t="str">
        <v>Actual Result</v>
      </c>
      <c r="H4" t="str">
        <v>Retest Result</v>
      </c>
      <c r="I4" t="str">
        <v>Regression Area</v>
      </c>
      <c r="J4" t="str">
        <v>Regression Result</v>
      </c>
      <c r="K4" t="str">
        <v>Tester</v>
      </c>
      <c r="L4" t="str">
        <v>Date</v>
      </c>
      <c r="M4" t="str">
        <v>Evidence / Link</v>
      </c>
      <c r="N4" t="str">
        <v>Final Defect Status</v>
      </c>
    </row>
    <row r="5">
      <c r="A5" t="str">
        <v>RETEST-001</v>
      </c>
      <c r="B5" t="str">
        <v>BUG-002</v>
      </c>
      <c r="C5" t="str">
        <v>commit c90afe5</v>
      </c>
      <c r="D5" t="str">
        <v>Normalized query string to replace underscore/hyphen sequences with space.</v>
      </c>
      <c r="E5" t="str">
        <v>1. Search "digital_marketing". 2. Search "digital marketing". Compare results.</v>
      </c>
      <c r="F5" t="str">
        <v>Identical job card list returned.</v>
      </c>
      <c r="G5" t="str">
        <v>Verified: both queries return exact Digital Marketing Manager listing.</v>
      </c>
      <c r="H5" t="str">
        <v>Pass</v>
      </c>
      <c r="I5" t="str">
        <v>Job Search &amp; Keyword Filtering</v>
      </c>
      <c r="J5" t="str">
        <v>Pass</v>
      </c>
      <c r="K5" t="str">
        <v>Antigravity QA</v>
      </c>
      <c r="L5" t="str">
        <v>2026-09-28</v>
      </c>
      <c r="M5" t="str">
        <v>tests/qaSearchAndAuth.test.ts</v>
      </c>
      <c r="N5" t="str">
        <v>Fixed</v>
      </c>
    </row>
    <row r="6">
      <c r="A6" t="str">
        <v>RETEST-002</v>
      </c>
      <c r="B6" t="str">
        <v>BUG-003</v>
      </c>
      <c r="C6" t="str">
        <v>commit c90afe5</v>
      </c>
      <c r="D6" t="str">
        <v>Added strict token matching and zero-result empty state handler.</v>
      </c>
      <c r="E6" t="str">
        <v>1. Search "ABCD". 2. Search "gfguy". Check UI response.</v>
      </c>
      <c r="F6" t="str">
        <v>Empty state with "No jobs found" and suggestion chips displayed.</v>
      </c>
      <c r="G6" t="str">
        <v>Verified: returns 0 jobs with clean empty state; unrelated jobs excluded.</v>
      </c>
      <c r="H6" t="str">
        <v>Pass</v>
      </c>
      <c r="I6" t="str">
        <v>Job Search &amp; Result Counters</v>
      </c>
      <c r="J6" t="str">
        <v>Pass</v>
      </c>
      <c r="K6" t="str">
        <v>Antigravity QA</v>
      </c>
      <c r="L6" t="str">
        <v>2026-09-28</v>
      </c>
      <c r="M6" t="str">
        <v>tests/qaSearchAndAuth.test.ts</v>
      </c>
      <c r="N6" t="str">
        <v>Fixed</v>
      </c>
    </row>
    <row r="7">
      <c r="A7" t="str">
        <v>RETEST-003</v>
      </c>
      <c r="B7" t="str">
        <v>BUG-004</v>
      </c>
      <c r="C7" t="str">
        <v>commit c90afe5</v>
      </c>
      <c r="D7" t="str">
        <v>Removed demo candidate prefill; initialized profile as isConfigured: false.</v>
      </c>
      <c r="E7" t="str">
        <v>1. Open incognito session. 2. Load /govt-exams.</v>
      </c>
      <c r="F7" t="str">
        <v>State &amp; district show "All India", badges prompt resume upload.</v>
      </c>
      <c r="G7" t="str">
        <v>Verified: no prefilled location; neutral eligibility prompt rendered.</v>
      </c>
      <c r="H7" t="str">
        <v>Pass</v>
      </c>
      <c r="I7" t="str">
        <v>Government Exam Eligibility Engine</v>
      </c>
      <c r="J7" t="str">
        <v>Pass</v>
      </c>
      <c r="K7" t="str">
        <v>Antigravity QA</v>
      </c>
      <c r="L7" t="str">
        <v>2026-09-28</v>
      </c>
      <c r="M7" t="str">
        <v>/govt-exams (tests/govtEligibility.test.ts)</v>
      </c>
      <c r="N7" t="str">
        <v>Fixed</v>
      </c>
    </row>
    <row r="8">
      <c r="A8" t="str">
        <v>RETEST-004</v>
      </c>
      <c r="B8" t="str">
        <v>BUG-005</v>
      </c>
      <c r="C8" t="str">
        <v>commit c90afe5</v>
      </c>
      <c r="D8" t="str">
        <v>Audited all 29 exams against official gazette notices; eradicated mock deadlines.</v>
      </c>
      <c r="E8" t="str">
        <v>1. Inspect AAI ATC, DRDO, BHEL, ONGC, NTPC cards on /govt-exams.</v>
      </c>
      <c r="F8" t="str">
        <v>AAI ATC closed 07-Sep-2026; DRDO closed 11-Jan-2026; UKPSC PCS active to 29-Sep-2026.</v>
      </c>
      <c r="G8" t="str">
        <v>Verified: zero false deadlines; AAI in archive with 07 Sep 2026; 54/54 tests pass.</v>
      </c>
      <c r="H8" t="str">
        <v>Pass</v>
      </c>
      <c r="I8" t="str">
        <v>Govt Exams Feed, Archive View, Telemetry Strip</v>
      </c>
      <c r="J8" t="str">
        <v>Pass</v>
      </c>
      <c r="K8" t="str">
        <v>Antigravity QA</v>
      </c>
      <c r="L8" t="str">
        <v>2026-09-28</v>
      </c>
      <c r="M8" t="str">
        <v>tests/govtNagarNigamVerification.test.ts</v>
      </c>
      <c r="N8" t="str">
        <v>Fixed</v>
      </c>
    </row>
    <row r="9">
      <c r="A9" t="str">
        <v>RETEST-005</v>
      </c>
      <c r="H9" t="str">
        <v>Not Run</v>
      </c>
      <c r="J9" t="str">
        <v>Not Run</v>
      </c>
    </row>
    <row r="10">
      <c r="A10" t="str">
        <v>RETEST-006</v>
      </c>
      <c r="H10" t="str">
        <v>Not Run</v>
      </c>
      <c r="J10" t="str">
        <v>Not Run</v>
      </c>
    </row>
    <row r="11">
      <c r="A11" t="str">
        <v>RETEST-007</v>
      </c>
      <c r="H11" t="str">
        <v>Not Run</v>
      </c>
      <c r="J11" t="str">
        <v>Not Run</v>
      </c>
    </row>
    <row r="12">
      <c r="A12" t="str">
        <v>RETEST-008</v>
      </c>
      <c r="H12" t="str">
        <v>Not Run</v>
      </c>
      <c r="J12" t="str">
        <v>Not Run</v>
      </c>
    </row>
    <row r="13">
      <c r="A13" t="str">
        <v>RETEST-009</v>
      </c>
      <c r="H13" t="str">
        <v>Not Run</v>
      </c>
      <c r="J13" t="str">
        <v>Not Run</v>
      </c>
    </row>
    <row r="14">
      <c r="A14" t="str">
        <v>RETEST-010</v>
      </c>
      <c r="H14" t="str">
        <v>Not Run</v>
      </c>
      <c r="J14" t="str">
        <v>Not Run</v>
      </c>
    </row>
    <row r="15">
      <c r="A15" t="str">
        <v>RETEST-011</v>
      </c>
      <c r="H15" t="str">
        <v>Not Run</v>
      </c>
      <c r="J15" t="str">
        <v>Not Run</v>
      </c>
    </row>
    <row r="16">
      <c r="A16" t="str">
        <v>RETEST-012</v>
      </c>
      <c r="H16" t="str">
        <v>Not Run</v>
      </c>
      <c r="J16" t="str">
        <v>Not Run</v>
      </c>
    </row>
    <row r="17">
      <c r="A17" t="str">
        <v>RETEST-013</v>
      </c>
      <c r="H17" t="str">
        <v>Not Run</v>
      </c>
      <c r="J17" t="str">
        <v>Not Run</v>
      </c>
    </row>
    <row r="18">
      <c r="A18" t="str">
        <v>RETEST-014</v>
      </c>
      <c r="H18" t="str">
        <v>Not Run</v>
      </c>
      <c r="J18" t="str">
        <v>Not Run</v>
      </c>
    </row>
    <row r="19">
      <c r="A19" t="str">
        <v>RETEST-015</v>
      </c>
      <c r="H19" t="str">
        <v>Not Run</v>
      </c>
      <c r="J19" t="str">
        <v>Not Run</v>
      </c>
    </row>
    <row r="20">
      <c r="A20" t="str">
        <v>RETEST-016</v>
      </c>
      <c r="H20" t="str">
        <v>Not Run</v>
      </c>
      <c r="J20" t="str">
        <v>Not Run</v>
      </c>
    </row>
    <row r="21">
      <c r="A21" t="str">
        <v>RETEST-017</v>
      </c>
      <c r="H21" t="str">
        <v>Not Run</v>
      </c>
      <c r="J21" t="str">
        <v>Not Run</v>
      </c>
    </row>
    <row r="22">
      <c r="A22" t="str">
        <v>RETEST-018</v>
      </c>
      <c r="H22" t="str">
        <v>Not Run</v>
      </c>
      <c r="J22" t="str">
        <v>Not Run</v>
      </c>
    </row>
    <row r="23">
      <c r="A23" t="str">
        <v>RETEST-019</v>
      </c>
      <c r="H23" t="str">
        <v>Not Run</v>
      </c>
      <c r="J23" t="str">
        <v>Not Run</v>
      </c>
    </row>
    <row r="24">
      <c r="A24" t="str">
        <v>RETEST-020</v>
      </c>
      <c r="H24" t="str">
        <v>Not Run</v>
      </c>
      <c r="J24" t="str">
        <v>Not Run</v>
      </c>
    </row>
    <row r="25">
      <c r="A25" t="str">
        <v>RETEST-021</v>
      </c>
      <c r="H25" t="str">
        <v>Not Run</v>
      </c>
      <c r="J25" t="str">
        <v>Not Run</v>
      </c>
    </row>
    <row r="26">
      <c r="A26" t="str">
        <v>RETEST-022</v>
      </c>
      <c r="H26" t="str">
        <v>Not Run</v>
      </c>
      <c r="J26" t="str">
        <v>Not Run</v>
      </c>
    </row>
    <row r="27">
      <c r="A27" t="str">
        <v>RETEST-023</v>
      </c>
      <c r="H27" t="str">
        <v>Not Run</v>
      </c>
      <c r="J27" t="str">
        <v>Not Run</v>
      </c>
    </row>
    <row r="28">
      <c r="A28" t="str">
        <v>RETEST-024</v>
      </c>
      <c r="H28" t="str">
        <v>Not Run</v>
      </c>
      <c r="J28" t="str">
        <v>Not Run</v>
      </c>
    </row>
    <row r="29">
      <c r="A29" t="str">
        <v>RETEST-025</v>
      </c>
      <c r="H29" t="str">
        <v>Not Run</v>
      </c>
      <c r="J29" t="str">
        <v>Not Run</v>
      </c>
    </row>
    <row r="30">
      <c r="A30" t="str">
        <v>RETEST-026</v>
      </c>
      <c r="H30" t="str">
        <v>Not Run</v>
      </c>
      <c r="J30" t="str">
        <v>Not Run</v>
      </c>
    </row>
    <row r="31">
      <c r="A31" t="str">
        <v>RETEST-027</v>
      </c>
      <c r="H31" t="str">
        <v>Not Run</v>
      </c>
      <c r="J31" t="str">
        <v>Not Run</v>
      </c>
    </row>
    <row r="32">
      <c r="A32" t="str">
        <v>RETEST-028</v>
      </c>
      <c r="H32" t="str">
        <v>Not Run</v>
      </c>
      <c r="J32" t="str">
        <v>Not Run</v>
      </c>
    </row>
    <row r="33">
      <c r="A33" t="str">
        <v>RETEST-029</v>
      </c>
      <c r="H33" t="str">
        <v>Not Run</v>
      </c>
      <c r="J33" t="str">
        <v>Not Run</v>
      </c>
    </row>
    <row r="34">
      <c r="A34" t="str">
        <v>RETEST-030</v>
      </c>
      <c r="H34" t="str">
        <v>Not Run</v>
      </c>
      <c r="J34" t="str">
        <v>Not Run</v>
      </c>
    </row>
    <row r="35">
      <c r="A35" t="str">
        <v>RETEST-031</v>
      </c>
      <c r="H35" t="str">
        <v>Not Run</v>
      </c>
      <c r="J35" t="str">
        <v>Not Run</v>
      </c>
    </row>
    <row r="36">
      <c r="A36" t="str">
        <v>RETEST-032</v>
      </c>
      <c r="H36" t="str">
        <v>Not Run</v>
      </c>
      <c r="J36" t="str">
        <v>Not Run</v>
      </c>
    </row>
    <row r="37">
      <c r="A37" t="str">
        <v>RETEST-033</v>
      </c>
      <c r="H37" t="str">
        <v>Not Run</v>
      </c>
      <c r="J37" t="str">
        <v>Not Run</v>
      </c>
    </row>
    <row r="38">
      <c r="A38" t="str">
        <v>RETEST-034</v>
      </c>
      <c r="H38" t="str">
        <v>Not Run</v>
      </c>
      <c r="J38" t="str">
        <v>Not Run</v>
      </c>
    </row>
    <row r="39">
      <c r="A39" t="str">
        <v>RETEST-035</v>
      </c>
      <c r="H39" t="str">
        <v>Not Run</v>
      </c>
      <c r="J39" t="str">
        <v>Not Run</v>
      </c>
    </row>
    <row r="40">
      <c r="A40" t="str">
        <v>RETEST-036</v>
      </c>
      <c r="H40" t="str">
        <v>Not Run</v>
      </c>
      <c r="J40" t="str">
        <v>Not Run</v>
      </c>
    </row>
    <row r="41">
      <c r="A41" t="str">
        <v>RETEST-037</v>
      </c>
      <c r="H41" t="str">
        <v>Not Run</v>
      </c>
      <c r="J41" t="str">
        <v>Not Run</v>
      </c>
    </row>
    <row r="42">
      <c r="A42" t="str">
        <v>RETEST-038</v>
      </c>
      <c r="H42" t="str">
        <v>Not Run</v>
      </c>
      <c r="J42" t="str">
        <v>Not Run</v>
      </c>
    </row>
    <row r="43">
      <c r="A43" t="str">
        <v>RETEST-039</v>
      </c>
      <c r="H43" t="str">
        <v>Not Run</v>
      </c>
      <c r="J43" t="str">
        <v>Not Run</v>
      </c>
    </row>
    <row r="44">
      <c r="A44" t="str">
        <v>RETEST-040</v>
      </c>
      <c r="H44" t="str">
        <v>Not Run</v>
      </c>
      <c r="J44" t="str">
        <v>Not Run</v>
      </c>
    </row>
    <row r="45">
      <c r="A45" t="str">
        <v>RETEST-041</v>
      </c>
      <c r="H45" t="str">
        <v>Not Run</v>
      </c>
      <c r="J45" t="str">
        <v>Not Run</v>
      </c>
    </row>
    <row r="46">
      <c r="A46" t="str">
        <v>RETEST-042</v>
      </c>
      <c r="H46" t="str">
        <v>Not Run</v>
      </c>
      <c r="J46" t="str">
        <v>Not Run</v>
      </c>
    </row>
    <row r="47">
      <c r="A47" t="str">
        <v>RETEST-043</v>
      </c>
      <c r="H47" t="str">
        <v>Not Run</v>
      </c>
      <c r="J47" t="str">
        <v>Not Run</v>
      </c>
    </row>
    <row r="48">
      <c r="A48" t="str">
        <v>RETEST-044</v>
      </c>
      <c r="H48" t="str">
        <v>Not Run</v>
      </c>
      <c r="J48" t="str">
        <v>Not Run</v>
      </c>
    </row>
    <row r="49">
      <c r="A49" t="str">
        <v>RETEST-045</v>
      </c>
      <c r="H49" t="str">
        <v>Not Run</v>
      </c>
      <c r="J49" t="str">
        <v>Not Run</v>
      </c>
    </row>
    <row r="50">
      <c r="A50" t="str">
        <v>RETEST-046</v>
      </c>
      <c r="H50" t="str">
        <v>Not Run</v>
      </c>
      <c r="J50" t="str">
        <v>Not Run</v>
      </c>
    </row>
    <row r="51">
      <c r="A51" t="str">
        <v>RETEST-047</v>
      </c>
      <c r="H51" t="str">
        <v>Not Run</v>
      </c>
      <c r="J51" t="str">
        <v>Not Run</v>
      </c>
    </row>
    <row r="52">
      <c r="A52" t="str">
        <v>RETEST-048</v>
      </c>
      <c r="H52" t="str">
        <v>Not Run</v>
      </c>
      <c r="J52" t="str">
        <v>Not Run</v>
      </c>
    </row>
    <row r="53">
      <c r="A53" t="str">
        <v>RETEST-049</v>
      </c>
      <c r="H53" t="str">
        <v>Not Run</v>
      </c>
      <c r="J53" t="str">
        <v>Not Run</v>
      </c>
    </row>
    <row r="54">
      <c r="A54" t="str">
        <v>RETEST-050</v>
      </c>
      <c r="H54" t="str">
        <v>Not Run</v>
      </c>
      <c r="J54" t="str">
        <v>Not Run</v>
      </c>
    </row>
    <row r="55">
      <c r="A55" t="str">
        <v>RETEST-051</v>
      </c>
      <c r="H55" t="str">
        <v>Not Run</v>
      </c>
      <c r="J55" t="str">
        <v>Not Run</v>
      </c>
    </row>
    <row r="56">
      <c r="A56" t="str">
        <v>RETEST-052</v>
      </c>
      <c r="H56" t="str">
        <v>Not Run</v>
      </c>
      <c r="J56" t="str">
        <v>Not Run</v>
      </c>
    </row>
    <row r="57">
      <c r="A57" t="str">
        <v>RETEST-053</v>
      </c>
      <c r="H57" t="str">
        <v>Not Run</v>
      </c>
      <c r="J57" t="str">
        <v>Not Run</v>
      </c>
    </row>
    <row r="58">
      <c r="A58" t="str">
        <v>RETEST-054</v>
      </c>
      <c r="H58" t="str">
        <v>Not Run</v>
      </c>
      <c r="J58" t="str">
        <v>Not Run</v>
      </c>
    </row>
    <row r="59">
      <c r="A59" t="str">
        <v>RETEST-055</v>
      </c>
      <c r="H59" t="str">
        <v>Not Run</v>
      </c>
      <c r="J59" t="str">
        <v>Not Run</v>
      </c>
    </row>
    <row r="60">
      <c r="A60" t="str">
        <v>RETEST-056</v>
      </c>
      <c r="H60" t="str">
        <v>Not Run</v>
      </c>
      <c r="J60" t="str">
        <v>Not Run</v>
      </c>
    </row>
    <row r="61">
      <c r="A61" t="str">
        <v>RETEST-057</v>
      </c>
      <c r="H61" t="str">
        <v>Not Run</v>
      </c>
      <c r="J61" t="str">
        <v>Not Run</v>
      </c>
    </row>
    <row r="62">
      <c r="A62" t="str">
        <v>RETEST-058</v>
      </c>
      <c r="H62" t="str">
        <v>Not Run</v>
      </c>
      <c r="J62" t="str">
        <v>Not Run</v>
      </c>
    </row>
    <row r="63">
      <c r="A63" t="str">
        <v>RETEST-059</v>
      </c>
      <c r="H63" t="str">
        <v>Not Run</v>
      </c>
      <c r="J63" t="str">
        <v>Not Run</v>
      </c>
    </row>
    <row r="64">
      <c r="A64" t="str">
        <v>RETEST-060</v>
      </c>
      <c r="H64" t="str">
        <v>Not Run</v>
      </c>
      <c r="J64" t="str">
        <v>Not Run</v>
      </c>
    </row>
    <row r="65">
      <c r="A65" t="str">
        <v>RETEST-061</v>
      </c>
      <c r="H65" t="str">
        <v>Not Run</v>
      </c>
      <c r="J65" t="str">
        <v>Not Run</v>
      </c>
    </row>
    <row r="66">
      <c r="A66" t="str">
        <v>RETEST-062</v>
      </c>
      <c r="H66" t="str">
        <v>Not Run</v>
      </c>
      <c r="J66" t="str">
        <v>Not Run</v>
      </c>
    </row>
    <row r="67">
      <c r="A67" t="str">
        <v>RETEST-063</v>
      </c>
      <c r="H67" t="str">
        <v>Not Run</v>
      </c>
      <c r="J67" t="str">
        <v>Not Run</v>
      </c>
    </row>
    <row r="68">
      <c r="A68" t="str">
        <v>RETEST-064</v>
      </c>
      <c r="H68" t="str">
        <v>Not Run</v>
      </c>
      <c r="J68" t="str">
        <v>Not Run</v>
      </c>
    </row>
    <row r="69">
      <c r="A69" t="str">
        <v>RETEST-065</v>
      </c>
      <c r="H69" t="str">
        <v>Not Run</v>
      </c>
      <c r="J69" t="str">
        <v>Not Run</v>
      </c>
    </row>
    <row r="70">
      <c r="A70" t="str">
        <v>RETEST-066</v>
      </c>
      <c r="H70" t="str">
        <v>Not Run</v>
      </c>
      <c r="J70" t="str">
        <v>Not Run</v>
      </c>
    </row>
    <row r="71">
      <c r="A71" t="str">
        <v>RETEST-067</v>
      </c>
      <c r="H71" t="str">
        <v>Not Run</v>
      </c>
      <c r="J71" t="str">
        <v>Not Run</v>
      </c>
    </row>
    <row r="72">
      <c r="A72" t="str">
        <v>RETEST-068</v>
      </c>
      <c r="H72" t="str">
        <v>Not Run</v>
      </c>
      <c r="J72" t="str">
        <v>Not Run</v>
      </c>
    </row>
    <row r="73">
      <c r="A73" t="str">
        <v>RETEST-069</v>
      </c>
      <c r="H73" t="str">
        <v>Not Run</v>
      </c>
      <c r="J73" t="str">
        <v>Not Run</v>
      </c>
    </row>
    <row r="74">
      <c r="A74" t="str">
        <v>RETEST-070</v>
      </c>
      <c r="H74" t="str">
        <v>Not Run</v>
      </c>
      <c r="J74" t="str">
        <v>Not Run</v>
      </c>
    </row>
    <row r="75">
      <c r="A75" t="str">
        <v>RETEST-071</v>
      </c>
      <c r="H75" t="str">
        <v>Not Run</v>
      </c>
      <c r="J75" t="str">
        <v>Not Run</v>
      </c>
    </row>
    <row r="76">
      <c r="A76" t="str">
        <v>RETEST-072</v>
      </c>
      <c r="H76" t="str">
        <v>Not Run</v>
      </c>
      <c r="J76" t="str">
        <v>Not Run</v>
      </c>
    </row>
    <row r="77">
      <c r="A77" t="str">
        <v>RETEST-073</v>
      </c>
      <c r="H77" t="str">
        <v>Not Run</v>
      </c>
      <c r="J77" t="str">
        <v>Not Run</v>
      </c>
    </row>
    <row r="78">
      <c r="A78" t="str">
        <v>RETEST-074</v>
      </c>
      <c r="H78" t="str">
        <v>Not Run</v>
      </c>
      <c r="J78" t="str">
        <v>Not Run</v>
      </c>
    </row>
    <row r="79">
      <c r="A79" t="str">
        <v>RETEST-075</v>
      </c>
      <c r="H79" t="str">
        <v>Not Run</v>
      </c>
      <c r="J79" t="str">
        <v>Not Run</v>
      </c>
    </row>
    <row r="80">
      <c r="A80" t="str">
        <v>RETEST-076</v>
      </c>
      <c r="H80" t="str">
        <v>Not Run</v>
      </c>
      <c r="J80" t="str">
        <v>Not Run</v>
      </c>
    </row>
    <row r="81">
      <c r="A81" t="str">
        <v>RETEST-077</v>
      </c>
      <c r="H81" t="str">
        <v>Not Run</v>
      </c>
      <c r="J81" t="str">
        <v>Not Run</v>
      </c>
    </row>
    <row r="82">
      <c r="A82" t="str">
        <v>RETEST-078</v>
      </c>
      <c r="H82" t="str">
        <v>Not Run</v>
      </c>
      <c r="J82" t="str">
        <v>Not Run</v>
      </c>
    </row>
    <row r="83">
      <c r="A83" t="str">
        <v>RETEST-079</v>
      </c>
      <c r="H83" t="str">
        <v>Not Run</v>
      </c>
      <c r="J83" t="str">
        <v>Not Run</v>
      </c>
    </row>
    <row r="84">
      <c r="A84" t="str">
        <v>RETEST-080</v>
      </c>
      <c r="H84" t="str">
        <v>Not Run</v>
      </c>
      <c r="J84" t="str">
        <v>Not Run</v>
      </c>
    </row>
    <row r="85">
      <c r="A85" t="str">
        <v>RETEST-081</v>
      </c>
      <c r="H85" t="str">
        <v>Not Run</v>
      </c>
      <c r="J85" t="str">
        <v>Not Run</v>
      </c>
    </row>
    <row r="86">
      <c r="A86" t="str">
        <v>RETEST-082</v>
      </c>
      <c r="H86" t="str">
        <v>Not Run</v>
      </c>
      <c r="J86" t="str">
        <v>Not Run</v>
      </c>
    </row>
    <row r="87">
      <c r="A87" t="str">
        <v>RETEST-083</v>
      </c>
      <c r="H87" t="str">
        <v>Not Run</v>
      </c>
      <c r="J87" t="str">
        <v>Not Run</v>
      </c>
    </row>
    <row r="88">
      <c r="A88" t="str">
        <v>RETEST-084</v>
      </c>
      <c r="H88" t="str">
        <v>Not Run</v>
      </c>
      <c r="J88" t="str">
        <v>Not Run</v>
      </c>
    </row>
    <row r="89">
      <c r="A89" t="str">
        <v>RETEST-085</v>
      </c>
      <c r="H89" t="str">
        <v>Not Run</v>
      </c>
      <c r="J89" t="str">
        <v>Not Run</v>
      </c>
    </row>
    <row r="90">
      <c r="A90" t="str">
        <v>RETEST-086</v>
      </c>
      <c r="H90" t="str">
        <v>Not Run</v>
      </c>
      <c r="J90" t="str">
        <v>Not Run</v>
      </c>
    </row>
    <row r="91">
      <c r="A91" t="str">
        <v>RETEST-087</v>
      </c>
      <c r="H91" t="str">
        <v>Not Run</v>
      </c>
      <c r="J91" t="str">
        <v>Not Run</v>
      </c>
    </row>
    <row r="92">
      <c r="A92" t="str">
        <v>RETEST-088</v>
      </c>
      <c r="H92" t="str">
        <v>Not Run</v>
      </c>
      <c r="J92" t="str">
        <v>Not Run</v>
      </c>
    </row>
    <row r="93">
      <c r="A93" t="str">
        <v>RETEST-089</v>
      </c>
      <c r="H93" t="str">
        <v>Not Run</v>
      </c>
      <c r="J93" t="str">
        <v>Not Run</v>
      </c>
    </row>
    <row r="94">
      <c r="A94" t="str">
        <v>RETEST-090</v>
      </c>
      <c r="H94" t="str">
        <v>Not Run</v>
      </c>
      <c r="J94" t="str">
        <v>Not Run</v>
      </c>
    </row>
    <row r="95">
      <c r="A95" t="str">
        <v>RETEST-091</v>
      </c>
      <c r="H95" t="str">
        <v>Not Run</v>
      </c>
      <c r="J95" t="str">
        <v>Not Run</v>
      </c>
    </row>
    <row r="96">
      <c r="A96" t="str">
        <v>RETEST-092</v>
      </c>
      <c r="H96" t="str">
        <v>Not Run</v>
      </c>
      <c r="J96" t="str">
        <v>Not Run</v>
      </c>
    </row>
    <row r="97">
      <c r="A97" t="str">
        <v>RETEST-093</v>
      </c>
      <c r="H97" t="str">
        <v>Not Run</v>
      </c>
      <c r="J97" t="str">
        <v>Not Run</v>
      </c>
    </row>
    <row r="98">
      <c r="A98" t="str">
        <v>RETEST-094</v>
      </c>
      <c r="H98" t="str">
        <v>Not Run</v>
      </c>
      <c r="J98" t="str">
        <v>Not Run</v>
      </c>
    </row>
    <row r="99">
      <c r="A99" t="str">
        <v>RETEST-095</v>
      </c>
      <c r="H99" t="str">
        <v>Not Run</v>
      </c>
      <c r="J99" t="str">
        <v>Not Run</v>
      </c>
    </row>
    <row r="100">
      <c r="A100" t="str">
        <v>RETEST-096</v>
      </c>
      <c r="H100" t="str">
        <v>Not Run</v>
      </c>
      <c r="J100" t="str">
        <v>Not Run</v>
      </c>
    </row>
    <row r="101">
      <c r="A101" t="str">
        <v>RETEST-097</v>
      </c>
      <c r="H101" t="str">
        <v>Not Run</v>
      </c>
      <c r="J101" t="str">
        <v>Not Run</v>
      </c>
    </row>
    <row r="102">
      <c r="A102" t="str">
        <v>RETEST-098</v>
      </c>
      <c r="H102" t="str">
        <v>Not Run</v>
      </c>
      <c r="J102" t="str">
        <v>Not Run</v>
      </c>
    </row>
    <row r="103">
      <c r="A103" t="str">
        <v>RETEST-099</v>
      </c>
      <c r="H103" t="str">
        <v>Not Run</v>
      </c>
      <c r="J103" t="str">
        <v>Not Run</v>
      </c>
    </row>
    <row r="104">
      <c r="A104" t="str">
        <v>RETEST-100</v>
      </c>
      <c r="H104" t="str">
        <v>Not Run</v>
      </c>
      <c r="J104" t="str">
        <v>Not Run</v>
      </c>
    </row>
  </sheetData>
  <mergeCells count="2">
    <mergeCell ref="A1:N1"/>
    <mergeCell ref="A2:N2"/>
  </mergeCells>
  <pageMargins left="0.7" right="0.7" top="0.75" bottom="0.75" header="0.3" footer="0.3"/>
  <ignoredErrors>
    <ignoredError numberStoredAsText="1" sqref="A1:N10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4"/>
  <sheetViews>
    <sheetView workbookViewId="0" rightToLeft="0"/>
  </sheetViews>
  <sheetData>
    <row r="1">
      <c r="A1" t="str">
        <v>Test Environment &amp; Test Data Register</v>
      </c>
    </row>
    <row r="3">
      <c r="A3" t="str">
        <v>Environment Field</v>
      </c>
      <c r="B3" t="str">
        <v>Value</v>
      </c>
      <c r="C3" t="str">
        <v>Owner / Source</v>
      </c>
      <c r="D3" t="str">
        <v>Notes</v>
      </c>
    </row>
    <row r="4">
      <c r="A4" t="str">
        <v>Application URL</v>
      </c>
      <c r="B4" t="str">
        <v>https://nichehire-psi.vercel.app / http://localhost:3000</v>
      </c>
      <c r="C4" t="str">
        <v>Vercel Production / Local Next.js Engine</v>
      </c>
      <c r="D4" t="str">
        <v>Enter QA/staging URL provided by X; do not store credentials here.</v>
      </c>
    </row>
    <row r="5">
      <c r="A5" t="str">
        <v>Build / Release</v>
      </c>
      <c r="B5" t="str">
        <v>Release v1.4.0 (commit c90afe5)</v>
      </c>
      <c r="C5" t="str">
        <v>Git main branch</v>
      </c>
      <c r="D5" t="str">
        <v>Record exact build/version used for execution.</v>
      </c>
    </row>
    <row r="6">
      <c r="A6" t="str">
        <v>Test Date</v>
      </c>
      <c r="B6" t="str">
        <v>2026-09-28</v>
      </c>
      <c r="C6" t="str">
        <v>Antigravity Automated &amp; Manual Verification Cycle</v>
      </c>
      <c r="D6" t="str">
        <v>Use actual execution date.</v>
      </c>
    </row>
    <row r="7">
      <c r="A7" t="str">
        <v>Environment</v>
      </c>
      <c r="B7" t="str">
        <v>Production &amp; Staging</v>
      </c>
      <c r="C7" t="str">
        <v>Vercel Edge Network</v>
      </c>
      <c r="D7" t="str">
        <v>Change as appropriate.</v>
      </c>
    </row>
    <row r="8">
      <c r="A8" t="str">
        <v>Browser</v>
      </c>
      <c r="B8" t="str">
        <v>Chrome 122.0, Microsoft Edge 122.0, Mozilla Firefox 123.0</v>
      </c>
      <c r="C8" t="str">
        <v>Desktop &amp; Mobile Browser Engines</v>
      </c>
      <c r="D8" t="str">
        <v>Record browser + version when defects are found.</v>
      </c>
    </row>
    <row r="9">
      <c r="A9" t="str">
        <v>Device / OS</v>
      </c>
      <c r="B9" t="str">
        <v>Windows 11 x64 / Android 14 (Chrome Mobile Viewport)</v>
      </c>
      <c r="C9" t="str">
        <v>Standard Target Test Hardware</v>
      </c>
      <c r="D9" t="str">
        <v>Record device/OS for responsive defects.</v>
      </c>
    </row>
    <row r="10">
      <c r="A10" t="str">
        <v>Network</v>
      </c>
      <c r="B10" t="str">
        <v>Broadband / Wi-Fi &amp; Simulated 4G Mobile Data</v>
      </c>
      <c r="C10" t="str">
        <v>Throttled &amp; Unthrottled Latency Tests</v>
      </c>
      <c r="D10" t="str">
        <v>Wi-Fi / mobile / VPN etc. if relevant.</v>
      </c>
    </row>
    <row r="11">
      <c r="A11" t="str">
        <v>API access available?</v>
      </c>
      <c r="B11" t="str">
        <v>Yes - /api/jobs/search, /api/auth/*, /api/resume/*, /api/govt-exams/*</v>
      </c>
      <c r="C11" t="str">
        <v>Next.js App Router API endpoints</v>
      </c>
      <c r="D11" t="str">
        <v>Yes/No; only test API directly when authorized.</v>
      </c>
    </row>
    <row r="12">
      <c r="A12" t="str">
        <v>Source access available?</v>
      </c>
      <c r="B12" t="str">
        <v>Yes - Official State PSC, UPSC, RRB, and Nagar Nigam Portals</v>
      </c>
      <c r="C12" t="str">
        <v>Direct .gov.in and .nic.in Gazette registries</v>
      </c>
      <c r="D12" t="str">
        <v>Yes/No; record source URLs in Source &amp; Redirect instead.</v>
      </c>
    </row>
    <row r="14">
      <c r="A14" t="str">
        <v>Test Data Category</v>
      </c>
      <c r="B14" t="str">
        <v>Sample / Placeholder</v>
      </c>
      <c r="C14" t="str">
        <v>Expected Use</v>
      </c>
      <c r="D14" t="str">
        <v>Notes</v>
      </c>
    </row>
    <row r="15">
      <c r="A15" t="str">
        <v>Candidate — eligible</v>
      </c>
      <c r="C15" t="str">
        <v>Positive application/search flows</v>
      </c>
      <c r="D15" t="str">
        <v>Use fake test data only.</v>
      </c>
    </row>
    <row r="16">
      <c r="A16" t="str">
        <v>Candidate — ineligible</v>
      </c>
      <c r="C16" t="str">
        <v>Eligibility/negative testing</v>
      </c>
      <c r="D16" t="str">
        <v>Use controlled dummy values.</v>
      </c>
    </row>
    <row r="17">
      <c r="A17" t="str">
        <v>Government job — active</v>
      </c>
      <c r="C17" t="str">
        <v>Dates, eligibility, official source validation</v>
      </c>
      <c r="D17" t="str">
        <v>Record actual sampled listing in Govt Job Tests.</v>
      </c>
    </row>
    <row r="18">
      <c r="A18" t="str">
        <v>Government job — expired</v>
      </c>
      <c r="C18" t="str">
        <v>Expiry/stale data validation</v>
      </c>
      <c r="D18" t="str">
        <v>Prefer an approved test/known closed listing.</v>
      </c>
    </row>
    <row r="19">
      <c r="A19" t="str">
        <v>Private job — active</v>
      </c>
      <c r="C19" t="str">
        <v>Search/listing/redirect validation</v>
      </c>
      <c r="D19" t="str">
        <v>Record source in Source &amp; Redirect.</v>
      </c>
    </row>
    <row r="20">
      <c r="A20" t="str">
        <v>Job — duplicate-prone</v>
      </c>
      <c r="C20" t="str">
        <v>Duplicate/merge testing</v>
      </c>
      <c r="D20" t="str">
        <v>Use same job from multiple source paths if available.</v>
      </c>
    </row>
    <row r="21">
      <c r="A21" t="str">
        <v>Resume — valid PDF</v>
      </c>
      <c r="C21" t="str">
        <v>Upload test</v>
      </c>
      <c r="D21" t="str">
        <v>No real personal documents.</v>
      </c>
    </row>
    <row r="22">
      <c r="A22" t="str">
        <v>Resume — oversized</v>
      </c>
      <c r="C22" t="str">
        <v>File validation</v>
      </c>
      <c r="D22" t="str">
        <v>Generate a dummy oversized file when authorized.</v>
      </c>
    </row>
    <row r="23">
      <c r="A23" t="str">
        <v>Resume — corrupt/unsupported</v>
      </c>
      <c r="C23" t="str">
        <v>Negative upload test</v>
      </c>
      <c r="D23" t="str">
        <v>Use safe non-executable dummy files.</v>
      </c>
    </row>
    <row r="24">
      <c r="A24" t="str">
        <v>Search keywords</v>
      </c>
      <c r="C24" t="str">
        <v>Keyword/partial/no-result cases</v>
      </c>
      <c r="D24" t="str">
        <v>Examples: Data Analyst, exact/partial, random string.</v>
      </c>
    </row>
  </sheetData>
  <mergeCells count="1">
    <mergeCell ref="A1:H1"/>
  </mergeCells>
  <pageMargins left="0.7" right="0.7" top="0.75" bottom="0.75" header="0.3" footer="0.3"/>
  <ignoredErrors>
    <ignoredError numberStoredAsText="1" sqref="A1:H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Status</v>
      </c>
      <c r="B1" t="str">
        <v>Priority</v>
      </c>
      <c r="C1" t="str">
        <v>Severity</v>
      </c>
      <c r="D1" t="str">
        <v>Bug Status</v>
      </c>
      <c r="E1" t="str">
        <v>Test Type</v>
      </c>
      <c r="F1" t="str">
        <v>Module</v>
      </c>
      <c r="G1" t="str">
        <v>Source Type</v>
      </c>
      <c r="H1" t="str">
        <v>Browser</v>
      </c>
      <c r="I1" t="str">
        <v>Execution Cycle</v>
      </c>
      <c r="J1" t="str">
        <v>Yes/No</v>
      </c>
    </row>
    <row r="2">
      <c r="A2" t="str">
        <v>Not Run</v>
      </c>
      <c r="B2" t="str">
        <v>Critical</v>
      </c>
      <c r="C2" t="str">
        <v>Critical</v>
      </c>
      <c r="D2" t="str">
        <v>New</v>
      </c>
      <c r="E2" t="str">
        <v>Smoke</v>
      </c>
      <c r="F2" t="str">
        <v>Homepage</v>
      </c>
      <c r="G2" t="str">
        <v>Company Career Site</v>
      </c>
      <c r="H2" t="str">
        <v>Chrome</v>
      </c>
      <c r="I2" t="str">
        <v>Smoke</v>
      </c>
      <c r="J2" t="str">
        <v>Yes</v>
      </c>
    </row>
    <row r="3">
      <c r="A3" t="str">
        <v>Pass</v>
      </c>
      <c r="B3" t="str">
        <v>High</v>
      </c>
      <c r="C3" t="str">
        <v>High</v>
      </c>
      <c r="D3" t="str">
        <v>Assigned</v>
      </c>
      <c r="E3" t="str">
        <v>Functional</v>
      </c>
      <c r="F3" t="str">
        <v>Authentication</v>
      </c>
      <c r="G3" t="str">
        <v>Government Portal</v>
      </c>
      <c r="H3" t="str">
        <v>Edge</v>
      </c>
      <c r="I3" t="str">
        <v>Functional Cycle 1</v>
      </c>
      <c r="J3" t="str">
        <v>No</v>
      </c>
    </row>
    <row r="4">
      <c r="A4" t="str">
        <v>Fail</v>
      </c>
      <c r="B4" t="str">
        <v>Medium</v>
      </c>
      <c r="C4" t="str">
        <v>Medium</v>
      </c>
      <c r="D4" t="str">
        <v>In Progress</v>
      </c>
      <c r="E4" t="str">
        <v>Negative</v>
      </c>
      <c r="F4" t="str">
        <v>Profile &amp; Resume</v>
      </c>
      <c r="G4" t="str">
        <v>Job Board</v>
      </c>
      <c r="H4" t="str">
        <v>Firefox</v>
      </c>
      <c r="I4" t="str">
        <v>Regression 1</v>
      </c>
    </row>
    <row r="5">
      <c r="A5" t="str">
        <v>Blocked</v>
      </c>
      <c r="B5" t="str">
        <v>Low</v>
      </c>
      <c r="C5" t="str">
        <v>Low</v>
      </c>
      <c r="D5" t="str">
        <v>Fixed</v>
      </c>
      <c r="E5" t="str">
        <v>Boundary</v>
      </c>
      <c r="F5" t="str">
        <v>Job Search</v>
      </c>
      <c r="G5" t="str">
        <v>API</v>
      </c>
      <c r="H5" t="str">
        <v>Safari</v>
      </c>
      <c r="I5" t="str">
        <v>Regression 2</v>
      </c>
    </row>
    <row r="6">
      <c r="A6" t="str">
        <v>Not Applicable</v>
      </c>
      <c r="D6" t="str">
        <v>Ready for Retest</v>
      </c>
      <c r="E6" t="str">
        <v>Validation</v>
      </c>
      <c r="F6" t="str">
        <v>Filters &amp; Sorting</v>
      </c>
      <c r="G6" t="str">
        <v>XML/JSON Feed</v>
      </c>
      <c r="H6" t="str">
        <v>Android Chrome</v>
      </c>
      <c r="I6" t="str">
        <v>UAT</v>
      </c>
    </row>
    <row r="7">
      <c r="D7" t="str">
        <v>Reopened</v>
      </c>
      <c r="E7" t="str">
        <v>Integration</v>
      </c>
      <c r="F7" t="str">
        <v>Job Listing</v>
      </c>
      <c r="G7" t="str">
        <v>Scraper</v>
      </c>
      <c r="H7" t="str">
        <v>iOS Safari</v>
      </c>
      <c r="I7" t="str">
        <v>Production Verification</v>
      </c>
    </row>
    <row r="8">
      <c r="D8" t="str">
        <v>Deferred</v>
      </c>
      <c r="E8" t="str">
        <v>UI/UX</v>
      </c>
      <c r="F8" t="str">
        <v>Job Details</v>
      </c>
      <c r="G8" t="str">
        <v>Unknown/To Verify</v>
      </c>
      <c r="H8" t="str">
        <v>Other</v>
      </c>
    </row>
    <row r="9">
      <c r="D9" t="str">
        <v>Rejected</v>
      </c>
      <c r="E9" t="str">
        <v>Security</v>
      </c>
      <c r="F9" t="str">
        <v>Source/Data Integration</v>
      </c>
    </row>
    <row r="10">
      <c r="D10" t="str">
        <v>Closed</v>
      </c>
      <c r="E10" t="str">
        <v>Compatibility</v>
      </c>
      <c r="F10" t="str">
        <v>Redirect/Apply</v>
      </c>
    </row>
    <row r="11">
      <c r="E11" t="str">
        <v>Accessibility</v>
      </c>
      <c r="F11" t="str">
        <v>Government Jobs</v>
      </c>
    </row>
    <row r="12">
      <c r="E12" t="str">
        <v>Performance</v>
      </c>
      <c r="F12" t="str">
        <v>Saved Jobs</v>
      </c>
    </row>
    <row r="13">
      <c r="E13" t="str">
        <v>Regression</v>
      </c>
      <c r="F13" t="str">
        <v>Applications</v>
      </c>
    </row>
    <row r="14">
      <c r="E14" t="str">
        <v>Data Quality</v>
      </c>
      <c r="F14" t="str">
        <v>Notifications</v>
      </c>
    </row>
    <row r="15">
      <c r="F15" t="str">
        <v>Security</v>
      </c>
    </row>
    <row r="16">
      <c r="F16" t="str">
        <v>Responsive/Browser</v>
      </c>
    </row>
    <row r="17">
      <c r="F17" t="str">
        <v>Accessibility</v>
      </c>
    </row>
    <row r="18">
      <c r="F18" t="str">
        <v>Performance</v>
      </c>
    </row>
    <row r="19">
      <c r="F19" t="str">
        <v>Admin</v>
      </c>
    </row>
  </sheetData>
  <pageMargins left="0.7" right="0.7" top="0.75" bottom="0.75" header="0.3" footer="0.3"/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Dashboard</vt:lpstr>
      <vt:lpstr>Feature Matrix</vt:lpstr>
      <vt:lpstr>Test Cases</vt:lpstr>
      <vt:lpstr>Source &amp; Redirect</vt:lpstr>
      <vt:lpstr>Govt Job Tests</vt:lpstr>
      <vt:lpstr>Bug Log</vt:lpstr>
      <vt:lpstr>Retest &amp; Regression</vt:lpstr>
      <vt:lpstr>Environment &amp; Data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2026-09-27T18:29:56Z</dcterms:created>
  <dcterms:modified xsi:type="dcterms:W3CDTF">2026-09-27T20:47:10Z</dcterms:modified>
  <cp:lastModifiedBy>Guest User</cp:lastModifiedBy>
</cp:coreProperties>
</file>